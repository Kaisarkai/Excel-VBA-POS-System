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8_{070A8B74-6CCE-4F2F-9169-52BF5BBDEE00}" xr6:coauthVersionLast="43" xr6:coauthVersionMax="43" xr10:uidLastSave="{00000000-0000-0000-0000-000000000000}"/>
  <bookViews>
    <workbookView xWindow="-120" yWindow="-120" windowWidth="20730" windowHeight="11040" activeTab="2" xr2:uid="{4D87CB4C-3DF0-41B5-9049-CB244AD4695E}"/>
  </bookViews>
  <sheets>
    <sheet name="Transaksi Kasir" sheetId="1" r:id="rId1"/>
    <sheet name="Daftrar Transaksi" sheetId="2" r:id="rId2"/>
    <sheet name="Nota Belanja" sheetId="3" r:id="rId3"/>
  </sheets>
  <functionGroups builtInGroupCount="19"/>
  <definedNames>
    <definedName name="_xlnm.Print_Area" localSheetId="2">'Nota Belanja'!$A$1:$I$31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5" i="1" l="1"/>
  <c r="R6" i="1"/>
  <c r="R7" i="1"/>
  <c r="R8" i="1"/>
  <c r="R9" i="1"/>
  <c r="R10" i="1"/>
  <c r="R11" i="1"/>
  <c r="R12" i="1"/>
  <c r="R13" i="1"/>
  <c r="R4" i="1"/>
  <c r="K4" i="1"/>
  <c r="B10" i="1" l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H3" i="1" l="1"/>
  <c r="K3" i="1"/>
  <c r="G8" i="3" l="1"/>
  <c r="F8" i="3"/>
  <c r="E8" i="3"/>
  <c r="D8" i="3"/>
  <c r="G6" i="3"/>
  <c r="Q14" i="1"/>
  <c r="P14" i="1"/>
  <c r="O14" i="1"/>
  <c r="S13" i="1"/>
  <c r="S12" i="1"/>
  <c r="T12" i="1"/>
  <c r="U12" i="1" s="1"/>
  <c r="K12" i="1"/>
  <c r="T11" i="1"/>
  <c r="U11" i="1" s="1"/>
  <c r="S10" i="1"/>
  <c r="T9" i="1"/>
  <c r="B9" i="1"/>
  <c r="S8" i="1"/>
  <c r="S7" i="1"/>
  <c r="T7" i="1"/>
  <c r="U7" i="1" s="1"/>
  <c r="K7" i="1"/>
  <c r="K9" i="1" s="1"/>
  <c r="S6" i="1"/>
  <c r="S5" i="1"/>
  <c r="S4" i="1"/>
  <c r="G3" i="3"/>
  <c r="Z3" i="1"/>
  <c r="H5" i="1"/>
  <c r="S9" i="1" l="1"/>
  <c r="S11" i="1"/>
  <c r="T13" i="1"/>
  <c r="U13" i="1" s="1"/>
  <c r="T6" i="1"/>
  <c r="U6" i="1" s="1"/>
  <c r="T5" i="1"/>
  <c r="U5" i="1" s="1"/>
  <c r="T4" i="1"/>
  <c r="U4" i="1" s="1"/>
  <c r="T8" i="1"/>
  <c r="U8" i="1" s="1"/>
  <c r="R14" i="1"/>
  <c r="T10" i="1"/>
  <c r="U10" i="1" s="1"/>
  <c r="F22" i="3"/>
  <c r="U9" i="1"/>
  <c r="D9" i="3"/>
  <c r="F9" i="3"/>
  <c r="D10" i="3"/>
  <c r="F10" i="3"/>
  <c r="E11" i="3"/>
  <c r="G11" i="3"/>
  <c r="E12" i="3"/>
  <c r="G12" i="3"/>
  <c r="E13" i="3"/>
  <c r="G13" i="3"/>
  <c r="E14" i="3"/>
  <c r="G14" i="3"/>
  <c r="E15" i="3"/>
  <c r="G15" i="3"/>
  <c r="E16" i="3"/>
  <c r="G16" i="3"/>
  <c r="E17" i="3"/>
  <c r="G17" i="3"/>
  <c r="E18" i="3"/>
  <c r="G18" i="3"/>
  <c r="E19" i="3"/>
  <c r="G19" i="3"/>
  <c r="E20" i="3"/>
  <c r="G20" i="3"/>
  <c r="E21" i="3"/>
  <c r="G21" i="3"/>
  <c r="E22" i="3"/>
  <c r="G22" i="3"/>
  <c r="E9" i="3"/>
  <c r="G9" i="3"/>
  <c r="E10" i="3"/>
  <c r="G10" i="3"/>
  <c r="D11" i="3"/>
  <c r="F11" i="3"/>
  <c r="D12" i="3"/>
  <c r="F12" i="3"/>
  <c r="D13" i="3"/>
  <c r="F13" i="3"/>
  <c r="D14" i="3"/>
  <c r="F14" i="3"/>
  <c r="D15" i="3"/>
  <c r="F15" i="3"/>
  <c r="D16" i="3"/>
  <c r="F16" i="3"/>
  <c r="D17" i="3"/>
  <c r="F17" i="3"/>
  <c r="D18" i="3"/>
  <c r="F18" i="3"/>
  <c r="D19" i="3"/>
  <c r="F19" i="3"/>
  <c r="D20" i="3"/>
  <c r="F20" i="3"/>
  <c r="D21" i="3"/>
  <c r="F21" i="3"/>
  <c r="D22" i="3"/>
  <c r="S14" i="1" l="1"/>
  <c r="K10" i="3"/>
  <c r="T14" i="1"/>
  <c r="U14" i="1"/>
  <c r="G23" i="3"/>
  <c r="C23" i="3"/>
</calcChain>
</file>

<file path=xl/sharedStrings.xml><?xml version="1.0" encoding="utf-8"?>
<sst xmlns="http://schemas.openxmlformats.org/spreadsheetml/2006/main" count="71" uniqueCount="51">
  <si>
    <t>NAMA BARANG</t>
  </si>
  <si>
    <t>DAFTAR TRANSAKSI</t>
  </si>
  <si>
    <t>DAFTAR BARANG</t>
  </si>
  <si>
    <t>HARGA BELI</t>
  </si>
  <si>
    <t>HARGA JUAL</t>
  </si>
  <si>
    <t>STOK AWAL</t>
  </si>
  <si>
    <t>TERJUAL</t>
  </si>
  <si>
    <t>STOK AKHIR</t>
  </si>
  <si>
    <t>KAS MASUK</t>
  </si>
  <si>
    <t>PROFIT</t>
  </si>
  <si>
    <t>TOTAL</t>
  </si>
  <si>
    <t>BERAS</t>
  </si>
  <si>
    <t>MINYAK GORENG</t>
  </si>
  <si>
    <t>TEPUNG TERIGU</t>
  </si>
  <si>
    <t>MENTEGA</t>
  </si>
  <si>
    <t>WAGYU A6</t>
  </si>
  <si>
    <t>AYAM GEPREK</t>
  </si>
  <si>
    <t>TEH BOTOL</t>
  </si>
  <si>
    <t>TEK KOTAK</t>
  </si>
  <si>
    <t>TEH GELAS</t>
  </si>
  <si>
    <t xml:space="preserve">ITERA G.E </t>
  </si>
  <si>
    <t>lampung,</t>
  </si>
  <si>
    <t>KEPADA Yth,</t>
  </si>
  <si>
    <t>No. Nota :</t>
  </si>
  <si>
    <t>No.</t>
  </si>
  <si>
    <t>Nama Barang</t>
  </si>
  <si>
    <t>Banyaknya</t>
  </si>
  <si>
    <t>Harga Satuan</t>
  </si>
  <si>
    <t>Jumlah</t>
  </si>
  <si>
    <t>Total :</t>
  </si>
  <si>
    <t>Perahatian:</t>
  </si>
  <si>
    <t xml:space="preserve">Barang yang dibeli tidak dapat </t>
  </si>
  <si>
    <t>dikembalikan</t>
  </si>
  <si>
    <t>Hormat Kami,</t>
  </si>
  <si>
    <t>INPUT DATA</t>
  </si>
  <si>
    <t>Total Data</t>
  </si>
  <si>
    <t>ALDAMART</t>
  </si>
  <si>
    <t>Grand Total</t>
  </si>
  <si>
    <t>Bayar</t>
  </si>
  <si>
    <t>Kembali</t>
  </si>
  <si>
    <t>No. Transaksi</t>
  </si>
  <si>
    <t>Tanggal</t>
  </si>
  <si>
    <t>Harga</t>
  </si>
  <si>
    <t>Total Item</t>
  </si>
  <si>
    <t>No</t>
  </si>
  <si>
    <t>No. Nota</t>
  </si>
  <si>
    <t>Total Nota</t>
  </si>
  <si>
    <t>TANDERLOIN</t>
  </si>
  <si>
    <t>N00001</t>
  </si>
  <si>
    <t>N00002</t>
  </si>
  <si>
    <t>(................................)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</si>
</sst>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&quot;Rp&quot;#,##0"/>
    <numFmt numFmtId="165" formatCode="[$-421]dd\ mmmm\ yyyy;@"/>
  </numFmts>
  <fonts count="12" x14ac:knownFonts="1">
    <font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color rgb="FF00B050"/>
      <name val="Times New Roman"/>
      <family val="1"/>
    </font>
    <font>
      <sz val="11"/>
      <color rgb="FF00B050"/>
      <name val="Calibri"/>
      <family val="2"/>
      <charset val="1"/>
      <scheme val="minor"/>
    </font>
    <font>
      <b/>
      <i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charset val="1"/>
      <scheme val="minor"/>
    </font>
    <font>
      <sz val="26"/>
      <color rgb="FFFF0000"/>
      <name val="Old English Text MT"/>
      <family val="4"/>
      <charset val="1"/>
    </font>
    <font>
      <sz val="26"/>
      <color rgb="FF1C1C1C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FF99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4" xfId="0" applyBorder="1"/>
    <xf numFmtId="0" fontId="0" fillId="0" borderId="0" xfId="0" applyFill="1"/>
    <xf numFmtId="0" fontId="0" fillId="0" borderId="5" xfId="0" applyBorder="1"/>
    <xf numFmtId="0" fontId="0" fillId="0" borderId="6" xfId="0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10" xfId="0" applyBorder="1"/>
    <xf numFmtId="0" fontId="0" fillId="5" borderId="4" xfId="0" applyFill="1" applyBorder="1" applyAlignment="1">
      <alignment horizontal="center"/>
    </xf>
    <xf numFmtId="0" fontId="2" fillId="0" borderId="4" xfId="0" applyFont="1" applyBorder="1"/>
    <xf numFmtId="164" fontId="0" fillId="0" borderId="4" xfId="0" applyNumberFormat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4" xfId="0" applyFill="1" applyBorder="1" applyAlignment="1">
      <alignment horizontal="left"/>
    </xf>
    <xf numFmtId="164" fontId="6" fillId="0" borderId="4" xfId="0" applyNumberFormat="1" applyFont="1" applyBorder="1" applyAlignment="1">
      <alignment horizontal="center"/>
    </xf>
    <xf numFmtId="0" fontId="6" fillId="0" borderId="4" xfId="0" applyNumberFormat="1" applyFont="1" applyBorder="1" applyAlignment="1">
      <alignment horizontal="center"/>
    </xf>
    <xf numFmtId="0" fontId="2" fillId="0" borderId="0" xfId="0" applyFont="1"/>
    <xf numFmtId="0" fontId="7" fillId="0" borderId="0" xfId="0" applyFont="1" applyFill="1" applyBorder="1"/>
    <xf numFmtId="0" fontId="7" fillId="3" borderId="4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right"/>
    </xf>
    <xf numFmtId="0" fontId="0" fillId="0" borderId="19" xfId="0" applyBorder="1"/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/>
    <xf numFmtId="0" fontId="2" fillId="0" borderId="0" xfId="0" applyFont="1" applyFill="1" applyBorder="1"/>
    <xf numFmtId="165" fontId="0" fillId="0" borderId="0" xfId="0" applyNumberFormat="1" applyBorder="1"/>
    <xf numFmtId="165" fontId="0" fillId="4" borderId="4" xfId="0" applyNumberFormat="1" applyFill="1" applyBorder="1"/>
    <xf numFmtId="0" fontId="9" fillId="0" borderId="0" xfId="0" applyFont="1" applyAlignment="1">
      <alignment horizontal="center"/>
    </xf>
    <xf numFmtId="3" fontId="0" fillId="0" borderId="4" xfId="0" applyNumberFormat="1" applyBorder="1"/>
    <xf numFmtId="3" fontId="1" fillId="2" borderId="4" xfId="0" applyNumberFormat="1" applyFont="1" applyFill="1" applyBorder="1"/>
    <xf numFmtId="0" fontId="0" fillId="4" borderId="4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0" xfId="0" applyFont="1" applyAlignment="1">
      <alignment horizontal="left"/>
    </xf>
    <xf numFmtId="0" fontId="0" fillId="0" borderId="4" xfId="0" applyNumberFormat="1" applyBorder="1" applyAlignment="1">
      <alignment horizontal="center"/>
    </xf>
    <xf numFmtId="3" fontId="0" fillId="4" borderId="4" xfId="0" applyNumberFormat="1" applyFill="1" applyBorder="1" applyAlignment="1">
      <alignment horizontal="left"/>
    </xf>
    <xf numFmtId="3" fontId="0" fillId="0" borderId="4" xfId="0" applyNumberFormat="1" applyBorder="1" applyAlignment="1">
      <alignment horizontal="center"/>
    </xf>
    <xf numFmtId="37" fontId="0" fillId="0" borderId="4" xfId="0" applyNumberFormat="1" applyBorder="1" applyAlignment="1">
      <alignment horizontal="center"/>
    </xf>
    <xf numFmtId="41" fontId="0" fillId="4" borderId="4" xfId="0" applyNumberFormat="1" applyFill="1" applyBorder="1" applyAlignment="1"/>
    <xf numFmtId="0" fontId="2" fillId="0" borderId="22" xfId="0" applyFont="1" applyBorder="1" applyAlignment="1">
      <alignment horizontal="center"/>
    </xf>
    <xf numFmtId="0" fontId="11" fillId="6" borderId="1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/>
    </xf>
    <xf numFmtId="0" fontId="0" fillId="0" borderId="23" xfId="0" applyBorder="1" applyAlignment="1">
      <alignment horizontal="right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164" fontId="0" fillId="0" borderId="4" xfId="0" applyNumberFormat="1" applyBorder="1"/>
    <xf numFmtId="164" fontId="0" fillId="0" borderId="22" xfId="0" applyNumberFormat="1" applyBorder="1" applyAlignment="1">
      <alignment horizontal="center"/>
    </xf>
    <xf numFmtId="164" fontId="0" fillId="0" borderId="22" xfId="0" applyNumberFormat="1" applyBorder="1"/>
    <xf numFmtId="1" fontId="0" fillId="0" borderId="4" xfId="0" applyNumberFormat="1" applyBorder="1"/>
    <xf numFmtId="164" fontId="0" fillId="0" borderId="22" xfId="0" applyNumberFormat="1" applyBorder="1" applyAlignment="1">
      <alignment horizontal="center" vertical="center"/>
    </xf>
  </cellXfs>
  <cellStyles count="1">
    <cellStyle name="Normal" xfId="0" builtinId="0"/>
  </cellStyles>
  <dxfs count="1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C1C1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3</xdr:row>
          <xdr:rowOff>161925</xdr:rowOff>
        </xdr:from>
        <xdr:to>
          <xdr:col>2</xdr:col>
          <xdr:colOff>552450</xdr:colOff>
          <xdr:row>5</xdr:row>
          <xdr:rowOff>76200</xdr:rowOff>
        </xdr:to>
        <xdr:sp macro="" textlink="">
          <xdr:nvSpPr>
            <xdr:cNvPr id="1025" name="cmdbata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3</xdr:row>
          <xdr:rowOff>161925</xdr:rowOff>
        </xdr:from>
        <xdr:to>
          <xdr:col>4</xdr:col>
          <xdr:colOff>1657350</xdr:colOff>
          <xdr:row>5</xdr:row>
          <xdr:rowOff>76200</xdr:rowOff>
        </xdr:to>
        <xdr:sp macro="" textlink="">
          <xdr:nvSpPr>
            <xdr:cNvPr id="1026" name="cmdsimpa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9</xdr:row>
          <xdr:rowOff>66675</xdr:rowOff>
        </xdr:from>
        <xdr:to>
          <xdr:col>10</xdr:col>
          <xdr:colOff>1647825</xdr:colOff>
          <xdr:row>10</xdr:row>
          <xdr:rowOff>171450</xdr:rowOff>
        </xdr:to>
        <xdr:sp macro="" textlink="">
          <xdr:nvSpPr>
            <xdr:cNvPr id="1027" name="cmdtamba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5A0E2B-196E-4659-ACB5-BEE3C7939B2B}" name="Table2" displayName="Table2" ref="W3:W5" totalsRowShown="0">
  <autoFilter ref="W3:W5" xr:uid="{5057D9F7-B9B2-4A3D-B1B7-4400A9AABE44}"/>
  <tableColumns count="1">
    <tableColumn id="1" xr3:uid="{A869D06C-456A-4B9D-B452-2E9FF12BEA0A}" name="No. No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ED690E-D3FA-4BC7-812B-FA4D0E6D2BA4}" name="Table1" displayName="Table1" ref="B2:G3" totalsRowShown="0" headerRowDxfId="9" headerRowBorderDxfId="8" tableBorderDxfId="7" totalsRowBorderDxfId="6">
  <autoFilter ref="B2:G3" xr:uid="{CE93951F-D8DC-44A7-BF38-012FE6BF9E3E}"/>
  <tableColumns count="6">
    <tableColumn id="1" xr3:uid="{76EF227C-FFB6-4686-B5BF-6E113B1F79C3}" name="No. Transaksi" dataDxfId="5"/>
    <tableColumn id="2" xr3:uid="{2EE6D7BF-16E7-4E84-A1D9-B8A5F82B4F3D}" name="Tanggal" dataDxfId="4"/>
    <tableColumn id="3" xr3:uid="{2C76B2CB-CF17-492A-9B59-125909E35A1B}" name="Nama Barang" dataDxfId="3"/>
    <tableColumn id="4" xr3:uid="{86D70EF1-0CE7-4710-9082-99EB52E68A2D}" name="Harga" dataDxfId="2"/>
    <tableColumn id="5" xr3:uid="{6E445890-458D-4B95-BED7-7DEE483CE268}" name="Banyaknya" dataDxfId="1"/>
    <tableColumn id="6" xr3:uid="{BDD297A7-7D2A-46A9-A145-AB6CAB4C5AD4}" name="Jumla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EAEF8-C585-4BC7-847A-C020D1629BFF}">
  <sheetPr codeName="Sheet1"/>
  <dimension ref="B1:BA117"/>
  <sheetViews>
    <sheetView zoomScale="85" zoomScaleNormal="100" workbookViewId="0">
      <selection activeCell="E12" sqref="E12"/>
    </sheetView>
  </sheetViews>
  <sheetFormatPr defaultRowHeight="15" x14ac:dyDescent="0.25"/>
  <cols>
    <col min="1" max="1" width="4.28515625" customWidth="1"/>
    <col min="2" max="2" width="3.85546875" bestFit="1" customWidth="1"/>
    <col min="3" max="3" width="14.42578125" customWidth="1"/>
    <col min="4" max="4" width="17.7109375" customWidth="1"/>
    <col min="5" max="5" width="32.42578125" customWidth="1"/>
    <col min="6" max="6" width="21" customWidth="1"/>
    <col min="7" max="7" width="20" customWidth="1"/>
    <col min="8" max="8" width="20.140625" customWidth="1"/>
    <col min="10" max="10" width="15.7109375" customWidth="1"/>
    <col min="11" max="11" width="25" customWidth="1"/>
    <col min="12" max="12" width="11.85546875" customWidth="1"/>
    <col min="14" max="14" width="16.140625" bestFit="1" customWidth="1"/>
    <col min="15" max="15" width="14.5703125" bestFit="1" customWidth="1"/>
    <col min="16" max="16" width="12.42578125" bestFit="1" customWidth="1"/>
    <col min="17" max="17" width="11.28515625" bestFit="1" customWidth="1"/>
    <col min="18" max="18" width="20.85546875" customWidth="1"/>
    <col min="19" max="19" width="11.42578125" bestFit="1" customWidth="1"/>
    <col min="20" max="20" width="11.28515625" bestFit="1" customWidth="1"/>
    <col min="21" max="21" width="17.42578125" customWidth="1"/>
    <col min="23" max="23" width="15" customWidth="1"/>
    <col min="25" max="25" width="13" customWidth="1"/>
  </cols>
  <sheetData>
    <row r="1" spans="2:53" ht="15.75" thickBot="1" x14ac:dyDescent="0.3"/>
    <row r="2" spans="2:53" ht="47.25" customHeight="1" thickBot="1" x14ac:dyDescent="0.3">
      <c r="B2" s="51" t="s">
        <v>36</v>
      </c>
      <c r="C2" s="52"/>
      <c r="D2" s="52"/>
      <c r="E2" s="52"/>
      <c r="F2" s="53"/>
      <c r="N2" s="17" t="s">
        <v>2</v>
      </c>
      <c r="O2" s="6"/>
      <c r="P2" s="6"/>
      <c r="Q2" s="6"/>
      <c r="R2" s="6"/>
      <c r="S2" s="6"/>
      <c r="T2" s="6"/>
      <c r="U2" s="6"/>
    </row>
    <row r="3" spans="2:53" x14ac:dyDescent="0.25">
      <c r="G3" s="17" t="s">
        <v>37</v>
      </c>
      <c r="H3" s="39">
        <f>SUM(H8:H1048576)</f>
        <v>0</v>
      </c>
      <c r="J3" s="17" t="s">
        <v>40</v>
      </c>
      <c r="K3" s="40" t="str">
        <f>"N"&amp;TEXT(COUNTA(Table2[No. Nota])+1,"00000")</f>
        <v>N00003</v>
      </c>
      <c r="L3" s="5"/>
      <c r="N3" s="8" t="s">
        <v>0</v>
      </c>
      <c r="O3" s="8" t="s">
        <v>3</v>
      </c>
      <c r="P3" s="8" t="s">
        <v>4</v>
      </c>
      <c r="Q3" s="8" t="s">
        <v>5</v>
      </c>
      <c r="R3" s="8" t="s">
        <v>6</v>
      </c>
      <c r="S3" s="8" t="s">
        <v>7</v>
      </c>
      <c r="T3" s="8" t="s">
        <v>8</v>
      </c>
      <c r="U3" s="8" t="s">
        <v>9</v>
      </c>
      <c r="W3" t="s">
        <v>45</v>
      </c>
      <c r="Y3" t="s">
        <v>46</v>
      </c>
      <c r="Z3" s="44">
        <f>COUNTA(Table2[No. Nota])</f>
        <v>2</v>
      </c>
    </row>
    <row r="4" spans="2:53" x14ac:dyDescent="0.25">
      <c r="G4" s="17" t="s">
        <v>38</v>
      </c>
      <c r="H4" s="38"/>
      <c r="J4" s="17" t="s">
        <v>41</v>
      </c>
      <c r="K4" s="36">
        <f ca="1">TODAY()</f>
        <v>44540</v>
      </c>
      <c r="L4" s="5"/>
      <c r="N4" s="13" t="s">
        <v>11</v>
      </c>
      <c r="O4" s="10">
        <v>50000</v>
      </c>
      <c r="P4" s="10">
        <v>55000</v>
      </c>
      <c r="Q4" s="12">
        <v>100</v>
      </c>
      <c r="R4" s="59">
        <f>SUMIF(Table1[Nama Barang], 'Transaksi Kasir'!N4:N13, Table1[Banyaknya])</f>
        <v>0</v>
      </c>
      <c r="S4" s="12">
        <f>Q4-R4</f>
        <v>100</v>
      </c>
      <c r="T4" s="45">
        <f>P4*R4</f>
        <v>0</v>
      </c>
      <c r="U4" s="45">
        <f>T4-(O4*R4)</f>
        <v>0</v>
      </c>
      <c r="W4" t="s">
        <v>48</v>
      </c>
    </row>
    <row r="5" spans="2:53" x14ac:dyDescent="0.25">
      <c r="G5" s="17" t="s">
        <v>39</v>
      </c>
      <c r="H5" s="39">
        <f>IF(VALUE(H4)=0,0,H4-H3)</f>
        <v>0</v>
      </c>
      <c r="J5" s="17"/>
      <c r="L5" s="5"/>
      <c r="N5" s="13" t="s">
        <v>12</v>
      </c>
      <c r="O5" s="10">
        <v>15000</v>
      </c>
      <c r="P5" s="10">
        <v>20000</v>
      </c>
      <c r="Q5" s="12">
        <v>100</v>
      </c>
      <c r="R5" s="59">
        <f>SUMIF(Table1[Nama Barang], 'Transaksi Kasir'!N5:N14, Table1[Banyaknya])</f>
        <v>0</v>
      </c>
      <c r="S5" s="12">
        <f t="shared" ref="S5:S13" si="0">Q5-R5</f>
        <v>100</v>
      </c>
      <c r="T5" s="45">
        <f t="shared" ref="T5:T13" si="1">P5*R5</f>
        <v>0</v>
      </c>
      <c r="U5" s="45">
        <f t="shared" ref="U5:U13" si="2">T5-(O5*R5)</f>
        <v>0</v>
      </c>
      <c r="W5" t="s">
        <v>49</v>
      </c>
    </row>
    <row r="6" spans="2:53" x14ac:dyDescent="0.25">
      <c r="J6" s="17" t="s">
        <v>25</v>
      </c>
      <c r="K6" s="1"/>
      <c r="L6" s="5"/>
      <c r="N6" s="13" t="s">
        <v>13</v>
      </c>
      <c r="O6" s="10">
        <v>10000</v>
      </c>
      <c r="P6" s="10">
        <v>15000</v>
      </c>
      <c r="Q6" s="12">
        <v>100</v>
      </c>
      <c r="R6" s="59">
        <f>SUMIF(Table1[Nama Barang], 'Transaksi Kasir'!N6:N15, Table1[Banyaknya])</f>
        <v>0</v>
      </c>
      <c r="S6" s="12">
        <f t="shared" si="0"/>
        <v>100</v>
      </c>
      <c r="T6" s="45">
        <f t="shared" si="1"/>
        <v>0</v>
      </c>
      <c r="U6" s="45">
        <f t="shared" si="2"/>
        <v>0</v>
      </c>
    </row>
    <row r="7" spans="2:53" x14ac:dyDescent="0.25">
      <c r="B7" s="19" t="s">
        <v>44</v>
      </c>
      <c r="C7" s="19" t="s">
        <v>40</v>
      </c>
      <c r="D7" s="19" t="s">
        <v>41</v>
      </c>
      <c r="E7" s="19" t="s">
        <v>25</v>
      </c>
      <c r="F7" s="19" t="s">
        <v>42</v>
      </c>
      <c r="G7" s="19" t="s">
        <v>26</v>
      </c>
      <c r="H7" s="19" t="s">
        <v>28</v>
      </c>
      <c r="I7" s="2"/>
      <c r="J7" s="18" t="s">
        <v>42</v>
      </c>
      <c r="K7" s="46" t="str">
        <f>IFERROR(VLOOKUP(K6,$N$4:$P$13,3,FALSE),"")</f>
        <v/>
      </c>
      <c r="L7" s="5"/>
      <c r="M7" s="2"/>
      <c r="N7" s="14" t="s">
        <v>14</v>
      </c>
      <c r="O7" s="11">
        <v>15000</v>
      </c>
      <c r="P7" s="11">
        <v>20000</v>
      </c>
      <c r="Q7" s="12">
        <v>100</v>
      </c>
      <c r="R7" s="59">
        <f>SUMIF(Table1[Nama Barang], 'Transaksi Kasir'!N7:N16, Table1[Banyaknya])</f>
        <v>0</v>
      </c>
      <c r="S7" s="12">
        <f t="shared" si="0"/>
        <v>100</v>
      </c>
      <c r="T7" s="45">
        <f t="shared" si="1"/>
        <v>0</v>
      </c>
      <c r="U7" s="45">
        <f t="shared" si="2"/>
        <v>0</v>
      </c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</row>
    <row r="8" spans="2:53" x14ac:dyDescent="0.25">
      <c r="B8" s="1">
        <v>1</v>
      </c>
      <c r="C8" s="1"/>
      <c r="D8" s="1"/>
      <c r="E8" s="1"/>
      <c r="F8" s="48"/>
      <c r="G8" s="12"/>
      <c r="H8" s="47"/>
      <c r="J8" s="17" t="s">
        <v>26</v>
      </c>
      <c r="K8" s="13"/>
      <c r="L8" s="5"/>
      <c r="N8" s="13" t="s">
        <v>15</v>
      </c>
      <c r="O8" s="10">
        <v>500000</v>
      </c>
      <c r="P8" s="10">
        <v>650000</v>
      </c>
      <c r="Q8" s="12">
        <v>100</v>
      </c>
      <c r="R8" s="59">
        <f>SUMIF(Table1[Nama Barang], 'Transaksi Kasir'!N8:N17, Table1[Banyaknya])</f>
        <v>0</v>
      </c>
      <c r="S8" s="12">
        <f t="shared" si="0"/>
        <v>100</v>
      </c>
      <c r="T8" s="45">
        <f t="shared" si="1"/>
        <v>0</v>
      </c>
      <c r="U8" s="45">
        <f t="shared" si="2"/>
        <v>0</v>
      </c>
    </row>
    <row r="9" spans="2:53" x14ac:dyDescent="0.25">
      <c r="B9" s="1" t="str">
        <f>IF(E9&lt;&gt;"",B8+1,"")</f>
        <v/>
      </c>
      <c r="C9" s="1"/>
      <c r="D9" s="1"/>
      <c r="E9" s="1"/>
      <c r="F9" s="48"/>
      <c r="G9" s="12"/>
      <c r="H9" s="47"/>
      <c r="J9" s="17" t="s">
        <v>28</v>
      </c>
      <c r="K9" s="49" t="str">
        <f>IFERROR(K7*K8,"")</f>
        <v/>
      </c>
      <c r="L9" s="5"/>
      <c r="N9" s="13" t="s">
        <v>47</v>
      </c>
      <c r="O9" s="10">
        <v>450000</v>
      </c>
      <c r="P9" s="10">
        <v>600000</v>
      </c>
      <c r="Q9" s="12">
        <v>100</v>
      </c>
      <c r="R9" s="59">
        <f>SUMIF(Table1[Nama Barang], 'Transaksi Kasir'!N9:N18, Table1[Banyaknya])</f>
        <v>0</v>
      </c>
      <c r="S9" s="12">
        <f t="shared" si="0"/>
        <v>100</v>
      </c>
      <c r="T9" s="45">
        <f t="shared" si="1"/>
        <v>0</v>
      </c>
      <c r="U9" s="45">
        <f t="shared" si="2"/>
        <v>0</v>
      </c>
    </row>
    <row r="10" spans="2:53" x14ac:dyDescent="0.25">
      <c r="B10" s="1" t="str">
        <f t="shared" ref="B10:B73" si="3">IF(E10&lt;&gt;"",B9+1,"")</f>
        <v/>
      </c>
      <c r="C10" s="1"/>
      <c r="D10" s="1"/>
      <c r="E10" s="1"/>
      <c r="F10" s="48"/>
      <c r="G10" s="12"/>
      <c r="H10" s="47"/>
      <c r="J10" s="17"/>
      <c r="N10" s="13" t="s">
        <v>16</v>
      </c>
      <c r="O10" s="10">
        <v>10000</v>
      </c>
      <c r="P10" s="10">
        <v>12000</v>
      </c>
      <c r="Q10" s="12">
        <v>100</v>
      </c>
      <c r="R10" s="59">
        <f>SUMIF(Table1[Nama Barang], 'Transaksi Kasir'!N10:N19, Table1[Banyaknya])</f>
        <v>0</v>
      </c>
      <c r="S10" s="12">
        <f t="shared" si="0"/>
        <v>100</v>
      </c>
      <c r="T10" s="45">
        <f t="shared" si="1"/>
        <v>0</v>
      </c>
      <c r="U10" s="45">
        <f t="shared" si="2"/>
        <v>0</v>
      </c>
    </row>
    <row r="11" spans="2:53" x14ac:dyDescent="0.25">
      <c r="B11" s="1" t="str">
        <f t="shared" si="3"/>
        <v/>
      </c>
      <c r="C11" s="1"/>
      <c r="D11" s="1"/>
      <c r="E11" s="1"/>
      <c r="F11" s="48"/>
      <c r="G11" s="12"/>
      <c r="H11" s="47"/>
      <c r="J11" s="17"/>
      <c r="N11" s="13" t="s">
        <v>17</v>
      </c>
      <c r="O11" s="10">
        <v>5000</v>
      </c>
      <c r="P11" s="10">
        <v>7000</v>
      </c>
      <c r="Q11" s="12">
        <v>100</v>
      </c>
      <c r="R11" s="59">
        <f>SUMIF(Table1[Nama Barang], 'Transaksi Kasir'!N11:N20, Table1[Banyaknya])</f>
        <v>0</v>
      </c>
      <c r="S11" s="12">
        <f t="shared" si="0"/>
        <v>100</v>
      </c>
      <c r="T11" s="45">
        <f t="shared" si="1"/>
        <v>0</v>
      </c>
      <c r="U11" s="45">
        <f t="shared" si="2"/>
        <v>0</v>
      </c>
    </row>
    <row r="12" spans="2:53" x14ac:dyDescent="0.25">
      <c r="B12" s="1" t="str">
        <f t="shared" si="3"/>
        <v/>
      </c>
      <c r="C12" s="1"/>
      <c r="D12" s="1"/>
      <c r="E12" s="1"/>
      <c r="F12" s="48"/>
      <c r="G12" s="12"/>
      <c r="H12" s="47"/>
      <c r="J12" s="17" t="s">
        <v>43</v>
      </c>
      <c r="K12" s="37">
        <f>COUNTA(E8:E1048576)</f>
        <v>0</v>
      </c>
      <c r="N12" s="13" t="s">
        <v>18</v>
      </c>
      <c r="O12" s="10">
        <v>5000</v>
      </c>
      <c r="P12" s="10">
        <v>7000</v>
      </c>
      <c r="Q12" s="12">
        <v>100</v>
      </c>
      <c r="R12" s="59">
        <f>SUMIF(Table1[Nama Barang], 'Transaksi Kasir'!N12:N21, Table1[Banyaknya])</f>
        <v>0</v>
      </c>
      <c r="S12" s="12">
        <f t="shared" si="0"/>
        <v>100</v>
      </c>
      <c r="T12" s="45">
        <f t="shared" si="1"/>
        <v>0</v>
      </c>
      <c r="U12" s="45">
        <f t="shared" si="2"/>
        <v>0</v>
      </c>
    </row>
    <row r="13" spans="2:53" x14ac:dyDescent="0.25">
      <c r="B13" s="1" t="str">
        <f t="shared" si="3"/>
        <v/>
      </c>
      <c r="C13" s="1"/>
      <c r="D13" s="1"/>
      <c r="E13" s="1"/>
      <c r="F13" s="48"/>
      <c r="G13" s="12"/>
      <c r="H13" s="47"/>
      <c r="N13" s="13" t="s">
        <v>19</v>
      </c>
      <c r="O13" s="10">
        <v>5000</v>
      </c>
      <c r="P13" s="10">
        <v>7000</v>
      </c>
      <c r="Q13" s="12">
        <v>100</v>
      </c>
      <c r="R13" s="59">
        <f>SUMIF(Table1[Nama Barang], 'Transaksi Kasir'!N13:N22, Table1[Banyaknya])</f>
        <v>0</v>
      </c>
      <c r="S13" s="12">
        <f t="shared" si="0"/>
        <v>100</v>
      </c>
      <c r="T13" s="45">
        <f t="shared" si="1"/>
        <v>0</v>
      </c>
      <c r="U13" s="45">
        <f t="shared" si="2"/>
        <v>0</v>
      </c>
    </row>
    <row r="14" spans="2:53" x14ac:dyDescent="0.25">
      <c r="B14" s="1" t="str">
        <f t="shared" si="3"/>
        <v/>
      </c>
      <c r="C14" s="1"/>
      <c r="D14" s="1"/>
      <c r="E14" s="1"/>
      <c r="F14" s="48"/>
      <c r="G14" s="12"/>
      <c r="H14" s="47"/>
      <c r="N14" s="9" t="s">
        <v>10</v>
      </c>
      <c r="O14" s="15">
        <f>SUM(O4:O13)</f>
        <v>1065000</v>
      </c>
      <c r="P14" s="15">
        <f t="shared" ref="P14:U14" si="4">SUM(P4:P13)</f>
        <v>1393000</v>
      </c>
      <c r="Q14" s="16">
        <f t="shared" si="4"/>
        <v>1000</v>
      </c>
      <c r="R14" s="16">
        <f t="shared" si="4"/>
        <v>0</v>
      </c>
      <c r="S14" s="16">
        <f t="shared" si="4"/>
        <v>1000</v>
      </c>
      <c r="T14" s="15">
        <f t="shared" si="4"/>
        <v>0</v>
      </c>
      <c r="U14" s="15">
        <f t="shared" si="4"/>
        <v>0</v>
      </c>
    </row>
    <row r="15" spans="2:53" x14ac:dyDescent="0.25">
      <c r="B15" s="1" t="str">
        <f t="shared" si="3"/>
        <v/>
      </c>
      <c r="C15" s="1"/>
      <c r="D15" s="1"/>
      <c r="E15" s="1"/>
      <c r="F15" s="48"/>
      <c r="G15" s="12"/>
      <c r="H15" s="47"/>
    </row>
    <row r="16" spans="2:53" x14ac:dyDescent="0.25">
      <c r="B16" s="1" t="str">
        <f t="shared" si="3"/>
        <v/>
      </c>
      <c r="C16" s="1"/>
      <c r="D16" s="1"/>
      <c r="E16" s="1"/>
      <c r="F16" s="48"/>
      <c r="G16" s="12"/>
      <c r="H16" s="47"/>
    </row>
    <row r="17" spans="2:8" x14ac:dyDescent="0.25">
      <c r="B17" s="1" t="str">
        <f t="shared" si="3"/>
        <v/>
      </c>
      <c r="C17" s="1"/>
      <c r="D17" s="1"/>
      <c r="E17" s="1"/>
      <c r="F17" s="48"/>
      <c r="G17" s="12"/>
      <c r="H17" s="47"/>
    </row>
    <row r="18" spans="2:8" x14ac:dyDescent="0.25">
      <c r="B18" s="1" t="str">
        <f t="shared" si="3"/>
        <v/>
      </c>
      <c r="C18" s="1"/>
      <c r="D18" s="1"/>
      <c r="E18" s="1"/>
      <c r="F18" s="48"/>
      <c r="G18" s="12"/>
      <c r="H18" s="47"/>
    </row>
    <row r="19" spans="2:8" x14ac:dyDescent="0.25">
      <c r="B19" s="1" t="str">
        <f t="shared" si="3"/>
        <v/>
      </c>
      <c r="C19" s="1"/>
      <c r="D19" s="1"/>
      <c r="E19" s="1"/>
      <c r="F19" s="48"/>
      <c r="G19" s="12"/>
      <c r="H19" s="47"/>
    </row>
    <row r="20" spans="2:8" x14ac:dyDescent="0.25">
      <c r="B20" s="1" t="str">
        <f t="shared" si="3"/>
        <v/>
      </c>
      <c r="C20" s="1"/>
      <c r="D20" s="1"/>
      <c r="E20" s="1"/>
      <c r="F20" s="48"/>
      <c r="G20" s="12"/>
      <c r="H20" s="47"/>
    </row>
    <row r="21" spans="2:8" x14ac:dyDescent="0.25">
      <c r="B21" s="1" t="str">
        <f t="shared" si="3"/>
        <v/>
      </c>
      <c r="C21" s="1"/>
      <c r="D21" s="1"/>
      <c r="E21" s="1"/>
      <c r="F21" s="48"/>
      <c r="G21" s="12"/>
      <c r="H21" s="47"/>
    </row>
    <row r="22" spans="2:8" x14ac:dyDescent="0.25">
      <c r="B22" s="1" t="str">
        <f t="shared" si="3"/>
        <v/>
      </c>
      <c r="C22" s="1"/>
      <c r="D22" s="1"/>
      <c r="E22" s="1"/>
      <c r="F22" s="48"/>
      <c r="G22" s="12"/>
      <c r="H22" s="47"/>
    </row>
    <row r="23" spans="2:8" x14ac:dyDescent="0.25">
      <c r="B23" s="1" t="str">
        <f t="shared" si="3"/>
        <v/>
      </c>
      <c r="C23" s="1"/>
      <c r="D23" s="1"/>
      <c r="E23" s="1"/>
      <c r="F23" s="48"/>
      <c r="G23" s="12"/>
      <c r="H23" s="47"/>
    </row>
    <row r="24" spans="2:8" x14ac:dyDescent="0.25">
      <c r="B24" s="1" t="str">
        <f t="shared" si="3"/>
        <v/>
      </c>
      <c r="C24" s="1"/>
      <c r="D24" s="1"/>
      <c r="E24" s="1"/>
      <c r="F24" s="48"/>
      <c r="G24" s="12"/>
      <c r="H24" s="47"/>
    </row>
    <row r="25" spans="2:8" x14ac:dyDescent="0.25">
      <c r="B25" s="1" t="str">
        <f t="shared" si="3"/>
        <v/>
      </c>
      <c r="C25" s="1"/>
      <c r="D25" s="1"/>
      <c r="E25" s="1"/>
      <c r="F25" s="48"/>
      <c r="G25" s="12"/>
      <c r="H25" s="47"/>
    </row>
    <row r="26" spans="2:8" x14ac:dyDescent="0.25">
      <c r="B26" s="1" t="str">
        <f t="shared" si="3"/>
        <v/>
      </c>
      <c r="C26" s="1"/>
      <c r="D26" s="1"/>
      <c r="E26" s="1"/>
      <c r="F26" s="48"/>
      <c r="G26" s="12"/>
      <c r="H26" s="47"/>
    </row>
    <row r="27" spans="2:8" x14ac:dyDescent="0.25">
      <c r="B27" s="1" t="str">
        <f t="shared" si="3"/>
        <v/>
      </c>
      <c r="C27" s="1"/>
      <c r="D27" s="1"/>
      <c r="E27" s="1"/>
      <c r="F27" s="48"/>
      <c r="G27" s="12"/>
      <c r="H27" s="47"/>
    </row>
    <row r="28" spans="2:8" x14ac:dyDescent="0.25">
      <c r="B28" s="1" t="str">
        <f t="shared" si="3"/>
        <v/>
      </c>
      <c r="C28" s="1"/>
      <c r="D28" s="1"/>
      <c r="E28" s="1"/>
      <c r="F28" s="48"/>
      <c r="G28" s="12"/>
      <c r="H28" s="47"/>
    </row>
    <row r="29" spans="2:8" x14ac:dyDescent="0.25">
      <c r="B29" s="1" t="str">
        <f t="shared" si="3"/>
        <v/>
      </c>
      <c r="C29" s="1"/>
      <c r="D29" s="1"/>
      <c r="E29" s="1"/>
      <c r="F29" s="48"/>
      <c r="G29" s="12"/>
      <c r="H29" s="47"/>
    </row>
    <row r="30" spans="2:8" x14ac:dyDescent="0.25">
      <c r="B30" s="1" t="str">
        <f t="shared" si="3"/>
        <v/>
      </c>
      <c r="C30" s="1"/>
      <c r="D30" s="1"/>
      <c r="E30" s="1"/>
      <c r="F30" s="48"/>
      <c r="G30" s="12"/>
      <c r="H30" s="47"/>
    </row>
    <row r="31" spans="2:8" x14ac:dyDescent="0.25">
      <c r="B31" s="1" t="str">
        <f t="shared" si="3"/>
        <v/>
      </c>
      <c r="C31" s="1"/>
      <c r="D31" s="1"/>
      <c r="E31" s="1"/>
      <c r="F31" s="48"/>
      <c r="G31" s="12"/>
      <c r="H31" s="47"/>
    </row>
    <row r="32" spans="2:8" x14ac:dyDescent="0.25">
      <c r="B32" s="1" t="str">
        <f t="shared" si="3"/>
        <v/>
      </c>
      <c r="C32" s="1"/>
      <c r="D32" s="1"/>
      <c r="E32" s="1"/>
      <c r="F32" s="48"/>
      <c r="G32" s="12"/>
      <c r="H32" s="47"/>
    </row>
    <row r="33" spans="2:8" x14ac:dyDescent="0.25">
      <c r="B33" s="1" t="str">
        <f t="shared" si="3"/>
        <v/>
      </c>
      <c r="C33" s="1"/>
      <c r="D33" s="1"/>
      <c r="E33" s="1"/>
      <c r="F33" s="48"/>
      <c r="G33" s="12"/>
      <c r="H33" s="47"/>
    </row>
    <row r="34" spans="2:8" x14ac:dyDescent="0.25">
      <c r="B34" s="1" t="str">
        <f t="shared" si="3"/>
        <v/>
      </c>
      <c r="C34" s="1"/>
      <c r="D34" s="1"/>
      <c r="E34" s="1"/>
      <c r="F34" s="48"/>
      <c r="G34" s="12"/>
      <c r="H34" s="47"/>
    </row>
    <row r="35" spans="2:8" x14ac:dyDescent="0.25">
      <c r="B35" s="1" t="str">
        <f t="shared" si="3"/>
        <v/>
      </c>
      <c r="C35" s="1"/>
      <c r="D35" s="1"/>
      <c r="E35" s="1"/>
      <c r="F35" s="48"/>
      <c r="G35" s="12"/>
      <c r="H35" s="47"/>
    </row>
    <row r="36" spans="2:8" x14ac:dyDescent="0.25">
      <c r="B36" s="1" t="str">
        <f t="shared" si="3"/>
        <v/>
      </c>
      <c r="C36" s="1"/>
      <c r="D36" s="1"/>
      <c r="E36" s="1"/>
      <c r="F36" s="48"/>
      <c r="G36" s="12"/>
      <c r="H36" s="47"/>
    </row>
    <row r="37" spans="2:8" x14ac:dyDescent="0.25">
      <c r="B37" s="1" t="str">
        <f t="shared" si="3"/>
        <v/>
      </c>
      <c r="C37" s="1"/>
      <c r="D37" s="1"/>
      <c r="E37" s="1"/>
      <c r="F37" s="48"/>
      <c r="G37" s="12"/>
      <c r="H37" s="47"/>
    </row>
    <row r="38" spans="2:8" x14ac:dyDescent="0.25">
      <c r="B38" s="1" t="str">
        <f t="shared" si="3"/>
        <v/>
      </c>
      <c r="C38" s="1"/>
      <c r="D38" s="1"/>
      <c r="E38" s="1"/>
      <c r="F38" s="48"/>
      <c r="G38" s="12"/>
      <c r="H38" s="47"/>
    </row>
    <row r="39" spans="2:8" x14ac:dyDescent="0.25">
      <c r="B39" s="1" t="str">
        <f t="shared" si="3"/>
        <v/>
      </c>
      <c r="C39" s="1"/>
      <c r="D39" s="1"/>
      <c r="E39" s="1"/>
      <c r="F39" s="48"/>
      <c r="G39" s="12"/>
      <c r="H39" s="47"/>
    </row>
    <row r="40" spans="2:8" x14ac:dyDescent="0.25">
      <c r="B40" s="1" t="str">
        <f t="shared" si="3"/>
        <v/>
      </c>
      <c r="C40" s="1"/>
      <c r="D40" s="1"/>
      <c r="E40" s="1"/>
      <c r="F40" s="48"/>
      <c r="G40" s="12"/>
      <c r="H40" s="47"/>
    </row>
    <row r="41" spans="2:8" x14ac:dyDescent="0.25">
      <c r="B41" s="1" t="str">
        <f t="shared" si="3"/>
        <v/>
      </c>
      <c r="C41" s="1"/>
      <c r="D41" s="1"/>
      <c r="E41" s="1"/>
      <c r="F41" s="48"/>
      <c r="G41" s="12"/>
      <c r="H41" s="47"/>
    </row>
    <row r="42" spans="2:8" x14ac:dyDescent="0.25">
      <c r="B42" s="1" t="str">
        <f t="shared" si="3"/>
        <v/>
      </c>
      <c r="C42" s="1"/>
      <c r="D42" s="1"/>
      <c r="E42" s="1"/>
      <c r="F42" s="48"/>
      <c r="G42" s="12"/>
      <c r="H42" s="47"/>
    </row>
    <row r="43" spans="2:8" x14ac:dyDescent="0.25">
      <c r="B43" s="1" t="str">
        <f t="shared" si="3"/>
        <v/>
      </c>
      <c r="C43" s="1"/>
      <c r="D43" s="1"/>
      <c r="E43" s="1"/>
      <c r="F43" s="48"/>
      <c r="G43" s="12"/>
      <c r="H43" s="47"/>
    </row>
    <row r="44" spans="2:8" x14ac:dyDescent="0.25">
      <c r="B44" s="1" t="str">
        <f t="shared" si="3"/>
        <v/>
      </c>
      <c r="C44" s="1"/>
      <c r="D44" s="1"/>
      <c r="E44" s="1"/>
      <c r="F44" s="48"/>
      <c r="G44" s="12"/>
      <c r="H44" s="47"/>
    </row>
    <row r="45" spans="2:8" x14ac:dyDescent="0.25">
      <c r="B45" s="1" t="str">
        <f t="shared" si="3"/>
        <v/>
      </c>
      <c r="C45" s="1"/>
      <c r="D45" s="1"/>
      <c r="E45" s="1"/>
      <c r="F45" s="48"/>
      <c r="G45" s="12"/>
      <c r="H45" s="47"/>
    </row>
    <row r="46" spans="2:8" x14ac:dyDescent="0.25">
      <c r="B46" s="1" t="str">
        <f t="shared" si="3"/>
        <v/>
      </c>
      <c r="C46" s="1"/>
      <c r="D46" s="1"/>
      <c r="E46" s="1"/>
      <c r="F46" s="48"/>
      <c r="G46" s="12"/>
      <c r="H46" s="47"/>
    </row>
    <row r="47" spans="2:8" x14ac:dyDescent="0.25">
      <c r="B47" s="1" t="str">
        <f t="shared" si="3"/>
        <v/>
      </c>
      <c r="C47" s="1"/>
      <c r="D47" s="1"/>
      <c r="E47" s="1"/>
      <c r="F47" s="48"/>
      <c r="G47" s="12"/>
      <c r="H47" s="47"/>
    </row>
    <row r="48" spans="2:8" x14ac:dyDescent="0.25">
      <c r="B48" s="1" t="str">
        <f t="shared" si="3"/>
        <v/>
      </c>
      <c r="C48" s="1"/>
      <c r="D48" s="1"/>
      <c r="E48" s="1"/>
      <c r="F48" s="48"/>
      <c r="G48" s="12"/>
      <c r="H48" s="47"/>
    </row>
    <row r="49" spans="2:8" x14ac:dyDescent="0.25">
      <c r="B49" s="1" t="str">
        <f t="shared" si="3"/>
        <v/>
      </c>
      <c r="C49" s="1"/>
      <c r="D49" s="1"/>
      <c r="E49" s="1"/>
      <c r="F49" s="48"/>
      <c r="G49" s="12"/>
      <c r="H49" s="47"/>
    </row>
    <row r="50" spans="2:8" x14ac:dyDescent="0.25">
      <c r="B50" s="1" t="str">
        <f t="shared" si="3"/>
        <v/>
      </c>
      <c r="C50" s="1"/>
      <c r="D50" s="1"/>
      <c r="E50" s="1"/>
      <c r="F50" s="48"/>
      <c r="G50" s="12"/>
      <c r="H50" s="47"/>
    </row>
    <row r="51" spans="2:8" x14ac:dyDescent="0.25">
      <c r="B51" s="1" t="str">
        <f t="shared" si="3"/>
        <v/>
      </c>
      <c r="C51" s="1"/>
      <c r="D51" s="1"/>
      <c r="E51" s="1"/>
      <c r="F51" s="48"/>
      <c r="G51" s="12"/>
      <c r="H51" s="47"/>
    </row>
    <row r="52" spans="2:8" x14ac:dyDescent="0.25">
      <c r="B52" s="1" t="str">
        <f t="shared" si="3"/>
        <v/>
      </c>
      <c r="C52" s="1"/>
      <c r="D52" s="1"/>
      <c r="E52" s="1"/>
      <c r="F52" s="48"/>
      <c r="G52" s="12"/>
      <c r="H52" s="47"/>
    </row>
    <row r="53" spans="2:8" x14ac:dyDescent="0.25">
      <c r="B53" s="1" t="str">
        <f t="shared" si="3"/>
        <v/>
      </c>
      <c r="C53" s="1"/>
      <c r="D53" s="1"/>
      <c r="E53" s="1"/>
      <c r="F53" s="48"/>
      <c r="G53" s="12"/>
      <c r="H53" s="47"/>
    </row>
    <row r="54" spans="2:8" x14ac:dyDescent="0.25">
      <c r="B54" s="1" t="str">
        <f t="shared" si="3"/>
        <v/>
      </c>
      <c r="C54" s="1"/>
      <c r="D54" s="1"/>
      <c r="E54" s="1"/>
      <c r="F54" s="48"/>
      <c r="G54" s="12"/>
      <c r="H54" s="47"/>
    </row>
    <row r="55" spans="2:8" x14ac:dyDescent="0.25">
      <c r="B55" s="1" t="str">
        <f t="shared" si="3"/>
        <v/>
      </c>
      <c r="C55" s="1"/>
      <c r="D55" s="1"/>
      <c r="E55" s="1"/>
      <c r="F55" s="48"/>
      <c r="G55" s="12"/>
      <c r="H55" s="47"/>
    </row>
    <row r="56" spans="2:8" x14ac:dyDescent="0.25">
      <c r="B56" s="1" t="str">
        <f t="shared" si="3"/>
        <v/>
      </c>
      <c r="C56" s="1"/>
      <c r="D56" s="1"/>
      <c r="E56" s="1"/>
      <c r="F56" s="48"/>
      <c r="G56" s="12"/>
      <c r="H56" s="47"/>
    </row>
    <row r="57" spans="2:8" x14ac:dyDescent="0.25">
      <c r="B57" s="1" t="str">
        <f t="shared" si="3"/>
        <v/>
      </c>
      <c r="C57" s="1"/>
      <c r="D57" s="1"/>
      <c r="E57" s="1"/>
      <c r="F57" s="48"/>
      <c r="G57" s="12"/>
      <c r="H57" s="47"/>
    </row>
    <row r="58" spans="2:8" x14ac:dyDescent="0.25">
      <c r="B58" s="1" t="str">
        <f t="shared" si="3"/>
        <v/>
      </c>
      <c r="C58" s="1"/>
      <c r="D58" s="1"/>
      <c r="E58" s="1"/>
      <c r="F58" s="48"/>
      <c r="G58" s="12"/>
      <c r="H58" s="47"/>
    </row>
    <row r="59" spans="2:8" x14ac:dyDescent="0.25">
      <c r="B59" s="1" t="str">
        <f t="shared" si="3"/>
        <v/>
      </c>
      <c r="C59" s="1"/>
      <c r="D59" s="1"/>
      <c r="E59" s="1"/>
      <c r="F59" s="48"/>
      <c r="G59" s="12"/>
      <c r="H59" s="47"/>
    </row>
    <row r="60" spans="2:8" x14ac:dyDescent="0.25">
      <c r="B60" s="1" t="str">
        <f t="shared" si="3"/>
        <v/>
      </c>
      <c r="C60" s="1"/>
      <c r="D60" s="1"/>
      <c r="E60" s="1"/>
      <c r="F60" s="48"/>
      <c r="G60" s="12"/>
      <c r="H60" s="47"/>
    </row>
    <row r="61" spans="2:8" x14ac:dyDescent="0.25">
      <c r="B61" s="1" t="str">
        <f t="shared" si="3"/>
        <v/>
      </c>
      <c r="C61" s="1"/>
      <c r="D61" s="1"/>
      <c r="E61" s="1"/>
      <c r="F61" s="48"/>
      <c r="G61" s="12"/>
      <c r="H61" s="47"/>
    </row>
    <row r="62" spans="2:8" x14ac:dyDescent="0.25">
      <c r="B62" s="1" t="str">
        <f t="shared" si="3"/>
        <v/>
      </c>
      <c r="C62" s="1"/>
      <c r="D62" s="1"/>
      <c r="E62" s="1"/>
      <c r="F62" s="48"/>
      <c r="G62" s="12"/>
      <c r="H62" s="47"/>
    </row>
    <row r="63" spans="2:8" x14ac:dyDescent="0.25">
      <c r="B63" s="1" t="str">
        <f t="shared" si="3"/>
        <v/>
      </c>
      <c r="C63" s="1"/>
      <c r="D63" s="1"/>
      <c r="E63" s="1"/>
      <c r="F63" s="48"/>
      <c r="G63" s="12"/>
      <c r="H63" s="47"/>
    </row>
    <row r="64" spans="2:8" x14ac:dyDescent="0.25">
      <c r="B64" s="1" t="str">
        <f t="shared" si="3"/>
        <v/>
      </c>
      <c r="C64" s="1"/>
      <c r="D64" s="1"/>
      <c r="E64" s="1"/>
      <c r="F64" s="48"/>
      <c r="G64" s="12"/>
      <c r="H64" s="47"/>
    </row>
    <row r="65" spans="2:8" x14ac:dyDescent="0.25">
      <c r="B65" s="1" t="str">
        <f t="shared" si="3"/>
        <v/>
      </c>
      <c r="C65" s="1"/>
      <c r="D65" s="1"/>
      <c r="E65" s="1"/>
      <c r="F65" s="48"/>
      <c r="G65" s="12"/>
      <c r="H65" s="47"/>
    </row>
    <row r="66" spans="2:8" x14ac:dyDescent="0.25">
      <c r="B66" s="1" t="str">
        <f t="shared" si="3"/>
        <v/>
      </c>
      <c r="C66" s="1"/>
      <c r="D66" s="1"/>
      <c r="E66" s="1"/>
      <c r="F66" s="48"/>
      <c r="G66" s="12"/>
      <c r="H66" s="47"/>
    </row>
    <row r="67" spans="2:8" x14ac:dyDescent="0.25">
      <c r="B67" s="1" t="str">
        <f t="shared" si="3"/>
        <v/>
      </c>
      <c r="C67" s="1"/>
      <c r="D67" s="1"/>
      <c r="E67" s="1"/>
      <c r="F67" s="48"/>
      <c r="G67" s="12"/>
      <c r="H67" s="47"/>
    </row>
    <row r="68" spans="2:8" x14ac:dyDescent="0.25">
      <c r="B68" s="1" t="str">
        <f t="shared" si="3"/>
        <v/>
      </c>
      <c r="C68" s="1"/>
      <c r="D68" s="1"/>
      <c r="E68" s="1"/>
      <c r="F68" s="48"/>
      <c r="G68" s="12"/>
      <c r="H68" s="47"/>
    </row>
    <row r="69" spans="2:8" x14ac:dyDescent="0.25">
      <c r="B69" s="1" t="str">
        <f t="shared" si="3"/>
        <v/>
      </c>
      <c r="C69" s="1"/>
      <c r="D69" s="1"/>
      <c r="E69" s="1"/>
      <c r="F69" s="48"/>
      <c r="G69" s="12"/>
      <c r="H69" s="47"/>
    </row>
    <row r="70" spans="2:8" x14ac:dyDescent="0.25">
      <c r="B70" s="1" t="str">
        <f t="shared" si="3"/>
        <v/>
      </c>
      <c r="C70" s="1"/>
      <c r="D70" s="1"/>
      <c r="E70" s="1"/>
      <c r="F70" s="48"/>
      <c r="G70" s="12"/>
      <c r="H70" s="47"/>
    </row>
    <row r="71" spans="2:8" x14ac:dyDescent="0.25">
      <c r="B71" s="1" t="str">
        <f t="shared" si="3"/>
        <v/>
      </c>
      <c r="C71" s="1"/>
      <c r="D71" s="1"/>
      <c r="E71" s="1"/>
      <c r="F71" s="48"/>
      <c r="G71" s="12"/>
      <c r="H71" s="47"/>
    </row>
    <row r="72" spans="2:8" x14ac:dyDescent="0.25">
      <c r="B72" s="1" t="str">
        <f t="shared" si="3"/>
        <v/>
      </c>
      <c r="C72" s="1"/>
      <c r="D72" s="1"/>
      <c r="E72" s="1"/>
      <c r="F72" s="48"/>
      <c r="G72" s="12"/>
      <c r="H72" s="47"/>
    </row>
    <row r="73" spans="2:8" x14ac:dyDescent="0.25">
      <c r="B73" s="1" t="str">
        <f t="shared" si="3"/>
        <v/>
      </c>
      <c r="C73" s="1"/>
      <c r="D73" s="1"/>
      <c r="E73" s="1"/>
      <c r="F73" s="48"/>
      <c r="G73" s="12"/>
      <c r="H73" s="47"/>
    </row>
    <row r="74" spans="2:8" x14ac:dyDescent="0.25">
      <c r="B74" s="1" t="str">
        <f t="shared" ref="B74:B107" si="5">IF(E74&lt;&gt;"",B73+1,"")</f>
        <v/>
      </c>
      <c r="C74" s="1"/>
      <c r="D74" s="1"/>
      <c r="E74" s="1"/>
      <c r="F74" s="48"/>
      <c r="G74" s="12"/>
      <c r="H74" s="47"/>
    </row>
    <row r="75" spans="2:8" x14ac:dyDescent="0.25">
      <c r="B75" s="1" t="str">
        <f t="shared" si="5"/>
        <v/>
      </c>
      <c r="C75" s="1"/>
      <c r="D75" s="1"/>
      <c r="E75" s="1"/>
      <c r="F75" s="48"/>
      <c r="G75" s="12"/>
      <c r="H75" s="47"/>
    </row>
    <row r="76" spans="2:8" x14ac:dyDescent="0.25">
      <c r="B76" s="1" t="str">
        <f t="shared" si="5"/>
        <v/>
      </c>
      <c r="C76" s="1"/>
      <c r="D76" s="1"/>
      <c r="E76" s="1"/>
      <c r="F76" s="48"/>
      <c r="G76" s="12"/>
      <c r="H76" s="47"/>
    </row>
    <row r="77" spans="2:8" x14ac:dyDescent="0.25">
      <c r="B77" s="1" t="str">
        <f t="shared" si="5"/>
        <v/>
      </c>
      <c r="C77" s="1"/>
      <c r="D77" s="1"/>
      <c r="E77" s="1"/>
      <c r="F77" s="48"/>
      <c r="G77" s="12"/>
      <c r="H77" s="47"/>
    </row>
    <row r="78" spans="2:8" x14ac:dyDescent="0.25">
      <c r="B78" s="1" t="str">
        <f t="shared" si="5"/>
        <v/>
      </c>
      <c r="C78" s="1"/>
      <c r="D78" s="1"/>
      <c r="E78" s="1"/>
      <c r="F78" s="48"/>
      <c r="G78" s="12"/>
      <c r="H78" s="47"/>
    </row>
    <row r="79" spans="2:8" x14ac:dyDescent="0.25">
      <c r="B79" s="1" t="str">
        <f t="shared" si="5"/>
        <v/>
      </c>
      <c r="C79" s="1"/>
      <c r="D79" s="1"/>
      <c r="E79" s="1"/>
      <c r="F79" s="48"/>
      <c r="G79" s="12"/>
      <c r="H79" s="47"/>
    </row>
    <row r="80" spans="2:8" x14ac:dyDescent="0.25">
      <c r="B80" s="1" t="str">
        <f t="shared" si="5"/>
        <v/>
      </c>
      <c r="C80" s="1"/>
      <c r="D80" s="1"/>
      <c r="E80" s="1"/>
      <c r="F80" s="48"/>
      <c r="G80" s="12"/>
      <c r="H80" s="47"/>
    </row>
    <row r="81" spans="2:8" x14ac:dyDescent="0.25">
      <c r="B81" s="1" t="str">
        <f t="shared" si="5"/>
        <v/>
      </c>
      <c r="C81" s="1"/>
      <c r="D81" s="1"/>
      <c r="E81" s="1"/>
      <c r="F81" s="48"/>
      <c r="G81" s="12"/>
      <c r="H81" s="47"/>
    </row>
    <row r="82" spans="2:8" x14ac:dyDescent="0.25">
      <c r="B82" s="1" t="str">
        <f t="shared" si="5"/>
        <v/>
      </c>
      <c r="C82" s="1"/>
      <c r="D82" s="1"/>
      <c r="E82" s="1"/>
      <c r="F82" s="48"/>
      <c r="G82" s="12"/>
      <c r="H82" s="47"/>
    </row>
    <row r="83" spans="2:8" x14ac:dyDescent="0.25">
      <c r="B83" s="1" t="str">
        <f t="shared" si="5"/>
        <v/>
      </c>
      <c r="C83" s="1"/>
      <c r="D83" s="1"/>
      <c r="E83" s="1"/>
      <c r="F83" s="48"/>
      <c r="G83" s="12"/>
      <c r="H83" s="47"/>
    </row>
    <row r="84" spans="2:8" x14ac:dyDescent="0.25">
      <c r="B84" s="1" t="str">
        <f t="shared" si="5"/>
        <v/>
      </c>
      <c r="C84" s="1"/>
      <c r="D84" s="1"/>
      <c r="E84" s="1"/>
      <c r="F84" s="48"/>
      <c r="G84" s="12"/>
      <c r="H84" s="47"/>
    </row>
    <row r="85" spans="2:8" x14ac:dyDescent="0.25">
      <c r="B85" s="1" t="str">
        <f t="shared" si="5"/>
        <v/>
      </c>
      <c r="C85" s="1"/>
      <c r="D85" s="1"/>
      <c r="E85" s="1"/>
      <c r="F85" s="48"/>
      <c r="G85" s="12"/>
      <c r="H85" s="47"/>
    </row>
    <row r="86" spans="2:8" x14ac:dyDescent="0.25">
      <c r="B86" s="1" t="str">
        <f t="shared" si="5"/>
        <v/>
      </c>
      <c r="C86" s="1"/>
      <c r="D86" s="1"/>
      <c r="E86" s="1"/>
      <c r="F86" s="48"/>
      <c r="G86" s="12"/>
      <c r="H86" s="47"/>
    </row>
    <row r="87" spans="2:8" x14ac:dyDescent="0.25">
      <c r="B87" s="1" t="str">
        <f t="shared" si="5"/>
        <v/>
      </c>
      <c r="C87" s="1"/>
      <c r="D87" s="1"/>
      <c r="E87" s="1"/>
      <c r="F87" s="48"/>
      <c r="G87" s="12"/>
      <c r="H87" s="47"/>
    </row>
    <row r="88" spans="2:8" x14ac:dyDescent="0.25">
      <c r="B88" s="1" t="str">
        <f t="shared" si="5"/>
        <v/>
      </c>
      <c r="C88" s="1"/>
      <c r="D88" s="1"/>
      <c r="E88" s="1"/>
      <c r="F88" s="48"/>
      <c r="G88" s="12"/>
      <c r="H88" s="47"/>
    </row>
    <row r="89" spans="2:8" x14ac:dyDescent="0.25">
      <c r="B89" s="1" t="str">
        <f t="shared" si="5"/>
        <v/>
      </c>
      <c r="C89" s="1"/>
      <c r="D89" s="1"/>
      <c r="E89" s="1"/>
      <c r="F89" s="48"/>
      <c r="G89" s="12"/>
      <c r="H89" s="47"/>
    </row>
    <row r="90" spans="2:8" x14ac:dyDescent="0.25">
      <c r="B90" s="1" t="str">
        <f t="shared" si="5"/>
        <v/>
      </c>
      <c r="C90" s="1"/>
      <c r="D90" s="1"/>
      <c r="E90" s="1"/>
      <c r="F90" s="48"/>
      <c r="G90" s="12"/>
      <c r="H90" s="47"/>
    </row>
    <row r="91" spans="2:8" x14ac:dyDescent="0.25">
      <c r="B91" s="1" t="str">
        <f t="shared" si="5"/>
        <v/>
      </c>
      <c r="C91" s="1"/>
      <c r="D91" s="1"/>
      <c r="E91" s="1"/>
      <c r="F91" s="48"/>
      <c r="G91" s="12"/>
      <c r="H91" s="47"/>
    </row>
    <row r="92" spans="2:8" x14ac:dyDescent="0.25">
      <c r="B92" s="1" t="str">
        <f t="shared" si="5"/>
        <v/>
      </c>
      <c r="C92" s="1"/>
      <c r="D92" s="1"/>
      <c r="E92" s="1"/>
      <c r="F92" s="48"/>
      <c r="G92" s="12"/>
      <c r="H92" s="47"/>
    </row>
    <row r="93" spans="2:8" x14ac:dyDescent="0.25">
      <c r="B93" s="1" t="str">
        <f t="shared" si="5"/>
        <v/>
      </c>
      <c r="C93" s="1"/>
      <c r="D93" s="1"/>
      <c r="E93" s="1"/>
      <c r="F93" s="48"/>
      <c r="G93" s="12"/>
      <c r="H93" s="47"/>
    </row>
    <row r="94" spans="2:8" x14ac:dyDescent="0.25">
      <c r="B94" s="1" t="str">
        <f t="shared" si="5"/>
        <v/>
      </c>
      <c r="C94" s="1"/>
      <c r="D94" s="1"/>
      <c r="E94" s="1"/>
      <c r="F94" s="48"/>
      <c r="G94" s="12"/>
      <c r="H94" s="47"/>
    </row>
    <row r="95" spans="2:8" x14ac:dyDescent="0.25">
      <c r="B95" s="1" t="str">
        <f t="shared" si="5"/>
        <v/>
      </c>
      <c r="C95" s="1"/>
      <c r="D95" s="1"/>
      <c r="E95" s="1"/>
      <c r="F95" s="48"/>
      <c r="G95" s="12"/>
      <c r="H95" s="47"/>
    </row>
    <row r="96" spans="2:8" x14ac:dyDescent="0.25">
      <c r="B96" s="1" t="str">
        <f t="shared" si="5"/>
        <v/>
      </c>
      <c r="C96" s="1"/>
      <c r="D96" s="1"/>
      <c r="E96" s="1"/>
      <c r="F96" s="48"/>
      <c r="G96" s="12"/>
      <c r="H96" s="47"/>
    </row>
    <row r="97" spans="2:8" x14ac:dyDescent="0.25">
      <c r="B97" s="1" t="str">
        <f t="shared" si="5"/>
        <v/>
      </c>
      <c r="C97" s="1"/>
      <c r="D97" s="1"/>
      <c r="E97" s="1"/>
      <c r="F97" s="48"/>
      <c r="G97" s="12"/>
      <c r="H97" s="47"/>
    </row>
    <row r="98" spans="2:8" x14ac:dyDescent="0.25">
      <c r="B98" s="1" t="str">
        <f t="shared" si="5"/>
        <v/>
      </c>
      <c r="C98" s="1"/>
      <c r="D98" s="1"/>
      <c r="E98" s="1"/>
      <c r="F98" s="48"/>
      <c r="G98" s="12"/>
      <c r="H98" s="47"/>
    </row>
    <row r="99" spans="2:8" x14ac:dyDescent="0.25">
      <c r="B99" s="1" t="str">
        <f t="shared" si="5"/>
        <v/>
      </c>
      <c r="C99" s="1"/>
      <c r="D99" s="1"/>
      <c r="E99" s="1"/>
      <c r="F99" s="48"/>
      <c r="G99" s="12"/>
      <c r="H99" s="47"/>
    </row>
    <row r="100" spans="2:8" x14ac:dyDescent="0.25">
      <c r="B100" s="1" t="str">
        <f t="shared" si="5"/>
        <v/>
      </c>
      <c r="C100" s="1"/>
      <c r="D100" s="1"/>
      <c r="E100" s="1"/>
      <c r="F100" s="48"/>
      <c r="G100" s="12"/>
      <c r="H100" s="47"/>
    </row>
    <row r="101" spans="2:8" x14ac:dyDescent="0.25">
      <c r="B101" s="1" t="str">
        <f t="shared" si="5"/>
        <v/>
      </c>
      <c r="C101" s="1"/>
      <c r="D101" s="1"/>
      <c r="E101" s="1"/>
      <c r="F101" s="48"/>
      <c r="G101" s="12"/>
      <c r="H101" s="47"/>
    </row>
    <row r="102" spans="2:8" x14ac:dyDescent="0.25">
      <c r="B102" s="1" t="str">
        <f t="shared" si="5"/>
        <v/>
      </c>
      <c r="C102" s="1"/>
      <c r="D102" s="1"/>
      <c r="E102" s="1"/>
      <c r="F102" s="48"/>
      <c r="G102" s="12"/>
      <c r="H102" s="47"/>
    </row>
    <row r="103" spans="2:8" x14ac:dyDescent="0.25">
      <c r="B103" s="1" t="str">
        <f t="shared" si="5"/>
        <v/>
      </c>
      <c r="C103" s="1"/>
      <c r="D103" s="1"/>
      <c r="E103" s="1"/>
      <c r="F103" s="48"/>
      <c r="G103" s="12"/>
      <c r="H103" s="47"/>
    </row>
    <row r="104" spans="2:8" x14ac:dyDescent="0.25">
      <c r="B104" s="1" t="str">
        <f t="shared" si="5"/>
        <v/>
      </c>
      <c r="C104" s="1"/>
      <c r="D104" s="1"/>
      <c r="E104" s="1"/>
      <c r="F104" s="48"/>
      <c r="G104" s="12"/>
      <c r="H104" s="47"/>
    </row>
    <row r="105" spans="2:8" x14ac:dyDescent="0.25">
      <c r="B105" s="1" t="str">
        <f t="shared" si="5"/>
        <v/>
      </c>
      <c r="C105" s="1"/>
      <c r="D105" s="1"/>
      <c r="E105" s="1"/>
      <c r="F105" s="48"/>
      <c r="G105" s="12"/>
      <c r="H105" s="47"/>
    </row>
    <row r="106" spans="2:8" x14ac:dyDescent="0.25">
      <c r="B106" s="1" t="str">
        <f t="shared" si="5"/>
        <v/>
      </c>
      <c r="C106" s="1"/>
      <c r="D106" s="1"/>
      <c r="E106" s="1"/>
      <c r="F106" s="48"/>
      <c r="G106" s="12"/>
      <c r="H106" s="47"/>
    </row>
    <row r="107" spans="2:8" x14ac:dyDescent="0.25">
      <c r="B107" s="1" t="str">
        <f t="shared" si="5"/>
        <v/>
      </c>
      <c r="C107" s="1"/>
      <c r="D107" s="1"/>
      <c r="E107" s="1"/>
      <c r="F107" s="48"/>
      <c r="G107" s="12"/>
      <c r="H107" s="47"/>
    </row>
    <row r="108" spans="2:8" x14ac:dyDescent="0.25">
      <c r="B108" s="24"/>
      <c r="C108" s="24"/>
      <c r="D108" s="24"/>
      <c r="E108" s="24"/>
      <c r="F108" s="24"/>
      <c r="G108" s="24"/>
      <c r="H108" s="24"/>
    </row>
    <row r="109" spans="2:8" x14ac:dyDescent="0.25">
      <c r="B109" s="24"/>
      <c r="C109" s="24"/>
      <c r="D109" s="24"/>
      <c r="E109" s="24"/>
      <c r="F109" s="24"/>
      <c r="G109" s="24"/>
      <c r="H109" s="24"/>
    </row>
    <row r="110" spans="2:8" x14ac:dyDescent="0.25">
      <c r="B110" s="24"/>
      <c r="C110" s="24"/>
      <c r="D110" s="24"/>
      <c r="E110" s="24"/>
      <c r="F110" s="24"/>
      <c r="G110" s="24"/>
      <c r="H110" s="24"/>
    </row>
    <row r="111" spans="2:8" x14ac:dyDescent="0.25">
      <c r="B111" s="24"/>
      <c r="C111" s="24"/>
      <c r="D111" s="24"/>
      <c r="E111" s="24"/>
      <c r="F111" s="24"/>
      <c r="G111" s="24"/>
      <c r="H111" s="24"/>
    </row>
    <row r="112" spans="2:8" x14ac:dyDescent="0.25">
      <c r="B112" s="24"/>
      <c r="C112" s="24"/>
      <c r="D112" s="24"/>
      <c r="E112" s="24"/>
      <c r="F112" s="24"/>
      <c r="G112" s="24"/>
      <c r="H112" s="24"/>
    </row>
    <row r="113" spans="2:8" x14ac:dyDescent="0.25">
      <c r="B113" s="24"/>
      <c r="C113" s="24"/>
      <c r="D113" s="24"/>
      <c r="E113" s="24"/>
      <c r="F113" s="24"/>
      <c r="G113" s="24"/>
      <c r="H113" s="24"/>
    </row>
    <row r="114" spans="2:8" x14ac:dyDescent="0.25">
      <c r="B114" s="24"/>
      <c r="C114" s="24"/>
      <c r="D114" s="24"/>
      <c r="E114" s="24"/>
      <c r="F114" s="24"/>
      <c r="G114" s="24"/>
      <c r="H114" s="24"/>
    </row>
    <row r="115" spans="2:8" x14ac:dyDescent="0.25">
      <c r="B115" s="24"/>
      <c r="C115" s="24"/>
      <c r="D115" s="24"/>
      <c r="E115" s="24"/>
      <c r="F115" s="24"/>
      <c r="G115" s="24"/>
      <c r="H115" s="24"/>
    </row>
    <row r="116" spans="2:8" x14ac:dyDescent="0.25">
      <c r="B116" s="24"/>
      <c r="C116" s="24"/>
      <c r="D116" s="24"/>
      <c r="E116" s="24"/>
      <c r="F116" s="24"/>
      <c r="G116" s="24"/>
      <c r="H116" s="24"/>
    </row>
    <row r="117" spans="2:8" x14ac:dyDescent="0.25">
      <c r="B117" s="24"/>
      <c r="C117" s="24"/>
      <c r="D117" s="24"/>
      <c r="E117" s="24"/>
      <c r="F117" s="24"/>
      <c r="G117" s="24"/>
      <c r="H117" s="24"/>
    </row>
  </sheetData>
  <mergeCells count="1">
    <mergeCell ref="B2:F2"/>
  </mergeCells>
  <dataValidations count="1">
    <dataValidation type="list" allowBlank="1" showInputMessage="1" showErrorMessage="1" sqref="K6" xr:uid="{A72E69A3-77A7-4632-8EEC-1B0D63DF5F3B}">
      <formula1>$N$4:$N$13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batal">
          <controlPr defaultSize="0" autoLine="0" r:id="rId5">
            <anchor moveWithCells="1">
              <from>
                <xdr:col>0</xdr:col>
                <xdr:colOff>133350</xdr:colOff>
                <xdr:row>3</xdr:row>
                <xdr:rowOff>161925</xdr:rowOff>
              </from>
              <to>
                <xdr:col>2</xdr:col>
                <xdr:colOff>552450</xdr:colOff>
                <xdr:row>5</xdr:row>
                <xdr:rowOff>76200</xdr:rowOff>
              </to>
            </anchor>
          </controlPr>
        </control>
      </mc:Choice>
      <mc:Fallback>
        <control shapeId="1025" r:id="rId4" name="cmdbatal"/>
      </mc:Fallback>
    </mc:AlternateContent>
    <mc:AlternateContent xmlns:mc="http://schemas.openxmlformats.org/markup-compatibility/2006">
      <mc:Choice Requires="x14">
        <control shapeId="1026" r:id="rId6" name="cmdsimpan">
          <controlPr defaultSize="0" autoLine="0" r:id="rId7">
            <anchor moveWithCells="1">
              <from>
                <xdr:col>4</xdr:col>
                <xdr:colOff>704850</xdr:colOff>
                <xdr:row>3</xdr:row>
                <xdr:rowOff>161925</xdr:rowOff>
              </from>
              <to>
                <xdr:col>4</xdr:col>
                <xdr:colOff>1657350</xdr:colOff>
                <xdr:row>5</xdr:row>
                <xdr:rowOff>76200</xdr:rowOff>
              </to>
            </anchor>
          </controlPr>
        </control>
      </mc:Choice>
      <mc:Fallback>
        <control shapeId="1026" r:id="rId6" name="cmdsimpan"/>
      </mc:Fallback>
    </mc:AlternateContent>
    <mc:AlternateContent xmlns:mc="http://schemas.openxmlformats.org/markup-compatibility/2006">
      <mc:Choice Requires="x14">
        <control shapeId="1027" r:id="rId8" name="cmdtambah">
          <controlPr defaultSize="0" autoLine="0" r:id="rId9">
            <anchor moveWithCells="1">
              <from>
                <xdr:col>10</xdr:col>
                <xdr:colOff>685800</xdr:colOff>
                <xdr:row>9</xdr:row>
                <xdr:rowOff>66675</xdr:rowOff>
              </from>
              <to>
                <xdr:col>10</xdr:col>
                <xdr:colOff>1647825</xdr:colOff>
                <xdr:row>10</xdr:row>
                <xdr:rowOff>171450</xdr:rowOff>
              </to>
            </anchor>
          </controlPr>
        </control>
      </mc:Choice>
      <mc:Fallback>
        <control shapeId="1027" r:id="rId8" name="cmdtambah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DA073-1638-46CE-81DB-B48C8785DB7F}">
  <sheetPr codeName="Sheet2"/>
  <dimension ref="B1:G3"/>
  <sheetViews>
    <sheetView zoomScale="74" workbookViewId="0">
      <selection activeCell="B3" sqref="B3"/>
    </sheetView>
  </sheetViews>
  <sheetFormatPr defaultRowHeight="15" x14ac:dyDescent="0.25"/>
  <cols>
    <col min="1" max="1" width="3.5703125" customWidth="1"/>
    <col min="2" max="2" width="20.7109375" customWidth="1"/>
    <col min="3" max="3" width="15.7109375" customWidth="1"/>
    <col min="4" max="4" width="29.5703125" customWidth="1"/>
    <col min="5" max="5" width="18.42578125" customWidth="1"/>
    <col min="6" max="6" width="18.85546875" customWidth="1"/>
    <col min="7" max="7" width="18.42578125" customWidth="1"/>
  </cols>
  <sheetData>
    <row r="1" spans="2:7" ht="18.75" x14ac:dyDescent="0.3">
      <c r="B1" s="54" t="s">
        <v>1</v>
      </c>
      <c r="C1" s="55"/>
      <c r="D1" s="55"/>
      <c r="E1" s="55"/>
      <c r="F1" s="55"/>
      <c r="G1" s="55"/>
    </row>
    <row r="2" spans="2:7" x14ac:dyDescent="0.25">
      <c r="B2" s="41" t="s">
        <v>40</v>
      </c>
      <c r="C2" s="42" t="s">
        <v>41</v>
      </c>
      <c r="D2" s="42" t="s">
        <v>25</v>
      </c>
      <c r="E2" s="42" t="s">
        <v>42</v>
      </c>
      <c r="F2" s="42" t="s">
        <v>26</v>
      </c>
      <c r="G2" s="43" t="s">
        <v>28</v>
      </c>
    </row>
    <row r="3" spans="2:7" x14ac:dyDescent="0.25">
      <c r="B3" s="4"/>
      <c r="C3" s="7"/>
      <c r="D3" s="7"/>
      <c r="E3" s="7"/>
      <c r="F3" s="7"/>
      <c r="G3" s="3"/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20235-DCC2-4869-B57E-0EE0AA32073A}">
  <sheetPr codeName="Sheet3">
    <pageSetUpPr fitToPage="1"/>
  </sheetPr>
  <dimension ref="B1:K30"/>
  <sheetViews>
    <sheetView tabSelected="1" zoomScale="64" zoomScaleNormal="100" workbookViewId="0">
      <selection activeCell="D8" sqref="D8"/>
    </sheetView>
  </sheetViews>
  <sheetFormatPr defaultRowHeight="15" x14ac:dyDescent="0.25"/>
  <cols>
    <col min="2" max="2" width="1.7109375" customWidth="1"/>
    <col min="3" max="3" width="4.5703125" customWidth="1"/>
    <col min="4" max="4" width="16" customWidth="1"/>
    <col min="5" max="5" width="23.7109375" customWidth="1"/>
    <col min="6" max="6" width="16.85546875" style="24" bestFit="1" customWidth="1"/>
    <col min="7" max="7" width="22.42578125" customWidth="1"/>
    <col min="8" max="8" width="1.28515625" customWidth="1"/>
    <col min="9" max="9" width="2.5703125" customWidth="1"/>
    <col min="10" max="10" width="17.5703125" customWidth="1"/>
    <col min="11" max="11" width="21.42578125" customWidth="1"/>
  </cols>
  <sheetData>
    <row r="1" spans="2:11" ht="15.75" thickBot="1" x14ac:dyDescent="0.3">
      <c r="F1" s="27"/>
    </row>
    <row r="2" spans="2:11" ht="3.75" customHeight="1" x14ac:dyDescent="0.25">
      <c r="B2" s="20"/>
      <c r="C2" s="21"/>
      <c r="D2" s="21"/>
      <c r="E2" s="21"/>
      <c r="F2" s="21"/>
      <c r="G2" s="21"/>
      <c r="H2" s="22"/>
    </row>
    <row r="3" spans="2:11" x14ac:dyDescent="0.25">
      <c r="B3" s="23" t="s">
        <v>36</v>
      </c>
      <c r="C3" s="24"/>
      <c r="D3" s="24"/>
      <c r="E3" s="24"/>
      <c r="F3" s="29" t="s">
        <v>21</v>
      </c>
      <c r="G3" s="35">
        <f ca="1">'Transaksi Kasir'!K4</f>
        <v>44540</v>
      </c>
      <c r="H3" s="25"/>
      <c r="J3" s="17" t="s">
        <v>34</v>
      </c>
    </row>
    <row r="4" spans="2:11" x14ac:dyDescent="0.25">
      <c r="B4" s="23" t="s">
        <v>20</v>
      </c>
      <c r="C4" s="24"/>
      <c r="D4" s="24"/>
      <c r="E4" s="24"/>
      <c r="F4" s="29" t="s">
        <v>22</v>
      </c>
      <c r="G4" s="24"/>
      <c r="H4" s="25"/>
      <c r="J4" s="17" t="s">
        <v>25</v>
      </c>
      <c r="K4" s="1"/>
    </row>
    <row r="5" spans="2:11" x14ac:dyDescent="0.25">
      <c r="B5" s="23"/>
      <c r="C5" s="24"/>
      <c r="D5" s="24"/>
      <c r="E5" s="24"/>
      <c r="G5" s="24"/>
      <c r="H5" s="25"/>
      <c r="J5" s="17" t="s">
        <v>26</v>
      </c>
      <c r="K5" s="1"/>
    </row>
    <row r="6" spans="2:11" x14ac:dyDescent="0.25">
      <c r="B6" s="23"/>
      <c r="C6" s="24"/>
      <c r="D6" s="24"/>
      <c r="E6" s="24"/>
      <c r="F6" s="60" t="s">
        <v>23</v>
      </c>
      <c r="G6" s="61" t="str">
        <f>'Transaksi Kasir'!K3</f>
        <v>N00003</v>
      </c>
      <c r="H6" s="25"/>
      <c r="J6" s="17" t="s">
        <v>27</v>
      </c>
      <c r="K6" s="1"/>
    </row>
    <row r="7" spans="2:11" x14ac:dyDescent="0.25">
      <c r="B7" s="23"/>
      <c r="C7" s="31" t="s">
        <v>24</v>
      </c>
      <c r="D7" s="31" t="s">
        <v>25</v>
      </c>
      <c r="E7" s="31" t="s">
        <v>27</v>
      </c>
      <c r="F7" s="31" t="s">
        <v>26</v>
      </c>
      <c r="G7" s="50" t="s">
        <v>28</v>
      </c>
      <c r="H7" s="25"/>
      <c r="J7" s="17" t="s">
        <v>28</v>
      </c>
      <c r="K7" s="1"/>
    </row>
    <row r="8" spans="2:11" x14ac:dyDescent="0.25">
      <c r="B8" s="23"/>
      <c r="C8" s="12">
        <v>1</v>
      </c>
      <c r="D8" s="13">
        <f>IFERROR(VLOOKUP(C8,'Transaksi Kasir'!$B$8:$H$22,4,FALSE),"")</f>
        <v>0</v>
      </c>
      <c r="E8" s="10">
        <f>IFERROR(VLOOKUP(C8,'Transaksi Kasir'!$B$8:$H$22,5,FALSE),"")</f>
        <v>0</v>
      </c>
      <c r="F8" s="59">
        <f>IFERROR(VLOOKUP(C8,'Transaksi Kasir'!$B$8:$H$22,6,FALSE),"")</f>
        <v>0</v>
      </c>
      <c r="G8" s="64">
        <f>IFERROR(VLOOKUP(C8,'Transaksi Kasir'!$B$8:$H$22,7,FALSE),"")</f>
        <v>0</v>
      </c>
      <c r="H8" s="25"/>
    </row>
    <row r="9" spans="2:11" x14ac:dyDescent="0.25">
      <c r="B9" s="23"/>
      <c r="C9" s="12">
        <v>2</v>
      </c>
      <c r="D9" s="1" t="str">
        <f>IFERROR(VLOOKUP(C9,'Transaksi Kasir'!$B$8:$H$22,4,FALSE),"")</f>
        <v/>
      </c>
      <c r="E9" s="63" t="str">
        <f>IFERROR(VLOOKUP(C9,'Transaksi Kasir'!$B$8:$H$22,5,FALSE),"")</f>
        <v/>
      </c>
      <c r="F9" s="66" t="str">
        <f>IFERROR(VLOOKUP(C9,'Transaksi Kasir'!$B$8:$H$22,6,FALSE),"")</f>
        <v/>
      </c>
      <c r="G9" s="65" t="str">
        <f>IFERROR(VLOOKUP(C9,'Transaksi Kasir'!$B$8:$H$22,7,FALSE),"")</f>
        <v/>
      </c>
      <c r="H9" s="25"/>
    </row>
    <row r="10" spans="2:11" x14ac:dyDescent="0.25">
      <c r="B10" s="23"/>
      <c r="C10" s="12">
        <v>3</v>
      </c>
      <c r="D10" s="1" t="str">
        <f>IFERROR(VLOOKUP(C10,'Transaksi Kasir'!$B$8:$H$22,4,FALSE),"")</f>
        <v/>
      </c>
      <c r="E10" s="63" t="str">
        <f>IFERROR(VLOOKUP(C10,'Transaksi Kasir'!$B$8:$H$22,5,FALSE),"")</f>
        <v/>
      </c>
      <c r="F10" s="66" t="str">
        <f>IFERROR(VLOOKUP(C10,'Transaksi Kasir'!$B$8:$H$22,6,FALSE),"")</f>
        <v/>
      </c>
      <c r="G10" s="65" t="str">
        <f>IFERROR(VLOOKUP(C10,'Transaksi Kasir'!$B$8:$H$22,7,FALSE),"")</f>
        <v/>
      </c>
      <c r="H10" s="25"/>
      <c r="J10" s="34" t="s">
        <v>35</v>
      </c>
      <c r="K10" s="17">
        <f>COUNTA(D8:D22)</f>
        <v>15</v>
      </c>
    </row>
    <row r="11" spans="2:11" x14ac:dyDescent="0.25">
      <c r="B11" s="23"/>
      <c r="C11" s="12">
        <v>4</v>
      </c>
      <c r="D11" s="1" t="str">
        <f>IFERROR(VLOOKUP(C11,'Transaksi Kasir'!$B$8:$H$22,4,FALSE),"")</f>
        <v/>
      </c>
      <c r="E11" s="63" t="str">
        <f>IFERROR(VLOOKUP(C11,'Transaksi Kasir'!$B$8:$H$22,5,FALSE),"")</f>
        <v/>
      </c>
      <c r="F11" s="66" t="str">
        <f>IFERROR(VLOOKUP(C11,'Transaksi Kasir'!$B$8:$H$22,6,FALSE),"")</f>
        <v/>
      </c>
      <c r="G11" s="65" t="str">
        <f>IFERROR(VLOOKUP(C11,'Transaksi Kasir'!$B$8:$H$22,7,FALSE),"")</f>
        <v/>
      </c>
      <c r="H11" s="25"/>
    </row>
    <row r="12" spans="2:11" x14ac:dyDescent="0.25">
      <c r="B12" s="23"/>
      <c r="C12" s="12">
        <v>5</v>
      </c>
      <c r="D12" s="1" t="str">
        <f>IFERROR(VLOOKUP(C12,'Transaksi Kasir'!$B$8:$H$22,4,FALSE),"")</f>
        <v/>
      </c>
      <c r="E12" s="63" t="str">
        <f>IFERROR(VLOOKUP(C12,'Transaksi Kasir'!$B$8:$H$22,5,FALSE),"")</f>
        <v/>
      </c>
      <c r="F12" s="66" t="str">
        <f>IFERROR(VLOOKUP(C12,'Transaksi Kasir'!$B$8:$H$22,6,FALSE),"")</f>
        <v/>
      </c>
      <c r="G12" s="65" t="str">
        <f>IFERROR(VLOOKUP(C12,'Transaksi Kasir'!$B$8:$H$22,7,FALSE),"")</f>
        <v/>
      </c>
      <c r="H12" s="25"/>
    </row>
    <row r="13" spans="2:11" x14ac:dyDescent="0.25">
      <c r="B13" s="23"/>
      <c r="C13" s="12">
        <v>6</v>
      </c>
      <c r="D13" s="1" t="str">
        <f>IFERROR(VLOOKUP(C13,'Transaksi Kasir'!$B$8:$H$22,4,FALSE),"")</f>
        <v/>
      </c>
      <c r="E13" s="63" t="str">
        <f>IFERROR(VLOOKUP(C13,'Transaksi Kasir'!$B$8:$H$22,5,FALSE),"")</f>
        <v/>
      </c>
      <c r="F13" s="66" t="str">
        <f>IFERROR(VLOOKUP(C13,'Transaksi Kasir'!$B$8:$H$22,6,FALSE),"")</f>
        <v/>
      </c>
      <c r="G13" s="65" t="str">
        <f>IFERROR(VLOOKUP(C13,'Transaksi Kasir'!$B$8:$H$22,7,FALSE),"")</f>
        <v/>
      </c>
      <c r="H13" s="25"/>
    </row>
    <row r="14" spans="2:11" x14ac:dyDescent="0.25">
      <c r="B14" s="23"/>
      <c r="C14" s="12">
        <v>7</v>
      </c>
      <c r="D14" s="1" t="str">
        <f>IFERROR(VLOOKUP(C14,'Transaksi Kasir'!$B$8:$H$22,4,FALSE),"")</f>
        <v/>
      </c>
      <c r="E14" s="63" t="str">
        <f>IFERROR(VLOOKUP(C14,'Transaksi Kasir'!$B$8:$H$22,5,FALSE),"")</f>
        <v/>
      </c>
      <c r="F14" s="66" t="str">
        <f>IFERROR(VLOOKUP(C14,'Transaksi Kasir'!$B$8:$H$22,6,FALSE),"")</f>
        <v/>
      </c>
      <c r="G14" s="65" t="str">
        <f>IFERROR(VLOOKUP(C14,'Transaksi Kasir'!$B$8:$H$22,7,FALSE),"")</f>
        <v/>
      </c>
      <c r="H14" s="25"/>
    </row>
    <row r="15" spans="2:11" x14ac:dyDescent="0.25">
      <c r="B15" s="23"/>
      <c r="C15" s="12">
        <v>8</v>
      </c>
      <c r="D15" s="1" t="str">
        <f>IFERROR(VLOOKUP(C15,'Transaksi Kasir'!$B$8:$H$22,4,FALSE),"")</f>
        <v/>
      </c>
      <c r="E15" s="63" t="str">
        <f>IFERROR(VLOOKUP(C15,'Transaksi Kasir'!$B$8:$H$22,5,FALSE),"")</f>
        <v/>
      </c>
      <c r="F15" s="66" t="str">
        <f>IFERROR(VLOOKUP(C15,'Transaksi Kasir'!$B$8:$H$22,6,FALSE),"")</f>
        <v/>
      </c>
      <c r="G15" s="65" t="str">
        <f>IFERROR(VLOOKUP(C15,'Transaksi Kasir'!$B$8:$H$22,7,FALSE),"")</f>
        <v/>
      </c>
      <c r="H15" s="25"/>
    </row>
    <row r="16" spans="2:11" x14ac:dyDescent="0.25">
      <c r="B16" s="23"/>
      <c r="C16" s="12">
        <v>9</v>
      </c>
      <c r="D16" s="1" t="str">
        <f>IFERROR(VLOOKUP(C16,'Transaksi Kasir'!$B$8:$H$22,4,FALSE),"")</f>
        <v/>
      </c>
      <c r="E16" s="63" t="str">
        <f>IFERROR(VLOOKUP(C16,'Transaksi Kasir'!$B$8:$H$22,5,FALSE),"")</f>
        <v/>
      </c>
      <c r="F16" s="66" t="str">
        <f>IFERROR(VLOOKUP(C16,'Transaksi Kasir'!$B$8:$H$22,6,FALSE),"")</f>
        <v/>
      </c>
      <c r="G16" s="65" t="str">
        <f>IFERROR(VLOOKUP(C16,'Transaksi Kasir'!$B$8:$H$22,7,FALSE),"")</f>
        <v/>
      </c>
      <c r="H16" s="25"/>
    </row>
    <row r="17" spans="2:8" x14ac:dyDescent="0.25">
      <c r="B17" s="23"/>
      <c r="C17" s="12">
        <v>10</v>
      </c>
      <c r="D17" s="1" t="str">
        <f>IFERROR(VLOOKUP(C17,'Transaksi Kasir'!$B$8:$H$22,4,FALSE),"")</f>
        <v/>
      </c>
      <c r="E17" s="63" t="str">
        <f>IFERROR(VLOOKUP(C17,'Transaksi Kasir'!$B$8:$H$22,5,FALSE),"")</f>
        <v/>
      </c>
      <c r="F17" s="66" t="str">
        <f>IFERROR(VLOOKUP(C17,'Transaksi Kasir'!$B$8:$H$22,6,FALSE),"")</f>
        <v/>
      </c>
      <c r="G17" s="65" t="str">
        <f>IFERROR(VLOOKUP(C17,'Transaksi Kasir'!$B$8:$H$22,7,FALSE),"")</f>
        <v/>
      </c>
      <c r="H17" s="25"/>
    </row>
    <row r="18" spans="2:8" x14ac:dyDescent="0.25">
      <c r="B18" s="23"/>
      <c r="C18" s="12">
        <v>11</v>
      </c>
      <c r="D18" s="1" t="str">
        <f>IFERROR(VLOOKUP(C18,'Transaksi Kasir'!$B$8:$H$22,4,FALSE),"")</f>
        <v/>
      </c>
      <c r="E18" s="63" t="str">
        <f>IFERROR(VLOOKUP(C18,'Transaksi Kasir'!$B$8:$H$22,5,FALSE),"")</f>
        <v/>
      </c>
      <c r="F18" s="66" t="str">
        <f>IFERROR(VLOOKUP(C18,'Transaksi Kasir'!$B$8:$H$22,6,FALSE),"")</f>
        <v/>
      </c>
      <c r="G18" s="65" t="str">
        <f>IFERROR(VLOOKUP(C18,'Transaksi Kasir'!$B$8:$H$22,7,FALSE),"")</f>
        <v/>
      </c>
      <c r="H18" s="25"/>
    </row>
    <row r="19" spans="2:8" x14ac:dyDescent="0.25">
      <c r="B19" s="23"/>
      <c r="C19" s="12">
        <v>12</v>
      </c>
      <c r="D19" s="1" t="str">
        <f>IFERROR(VLOOKUP(C19,'Transaksi Kasir'!$B$8:$H$22,4,FALSE),"")</f>
        <v/>
      </c>
      <c r="E19" s="63" t="str">
        <f>IFERROR(VLOOKUP(C19,'Transaksi Kasir'!$B$8:$H$22,5,FALSE),"")</f>
        <v/>
      </c>
      <c r="F19" s="66" t="str">
        <f>IFERROR(VLOOKUP(C19,'Transaksi Kasir'!$B$8:$H$22,6,FALSE),"")</f>
        <v/>
      </c>
      <c r="G19" s="65" t="str">
        <f>IFERROR(VLOOKUP(C19,'Transaksi Kasir'!$B$8:$H$22,7,FALSE),"")</f>
        <v/>
      </c>
      <c r="H19" s="25"/>
    </row>
    <row r="20" spans="2:8" x14ac:dyDescent="0.25">
      <c r="B20" s="23"/>
      <c r="C20" s="12">
        <v>13</v>
      </c>
      <c r="D20" s="1" t="str">
        <f>IFERROR(VLOOKUP(C20,'Transaksi Kasir'!$B$8:$H$22,4,FALSE),"")</f>
        <v/>
      </c>
      <c r="E20" s="63" t="str">
        <f>IFERROR(VLOOKUP(C20,'Transaksi Kasir'!$B$8:$H$22,5,FALSE),"")</f>
        <v/>
      </c>
      <c r="F20" s="66" t="str">
        <f>IFERROR(VLOOKUP(C20,'Transaksi Kasir'!$B$8:$H$22,6,FALSE),"")</f>
        <v/>
      </c>
      <c r="G20" s="65" t="str">
        <f>IFERROR(VLOOKUP(C20,'Transaksi Kasir'!$B$8:$H$22,7,FALSE),"")</f>
        <v/>
      </c>
      <c r="H20" s="25"/>
    </row>
    <row r="21" spans="2:8" x14ac:dyDescent="0.25">
      <c r="B21" s="23"/>
      <c r="C21" s="12">
        <v>14</v>
      </c>
      <c r="D21" s="1" t="str">
        <f>IFERROR(VLOOKUP(C21,'Transaksi Kasir'!$B$8:$H$22,4,FALSE),"")</f>
        <v/>
      </c>
      <c r="E21" s="63" t="str">
        <f>IFERROR(VLOOKUP(C21,'Transaksi Kasir'!$B$8:$H$22,5,FALSE),"")</f>
        <v/>
      </c>
      <c r="F21" s="66" t="str">
        <f>IFERROR(VLOOKUP(C21,'Transaksi Kasir'!$B$8:$H$22,6,FALSE),"")</f>
        <v/>
      </c>
      <c r="G21" s="65" t="str">
        <f>IFERROR(VLOOKUP(C21,'Transaksi Kasir'!$B$8:$H$22,7,FALSE),"")</f>
        <v/>
      </c>
      <c r="H21" s="25"/>
    </row>
    <row r="22" spans="2:8" x14ac:dyDescent="0.25">
      <c r="B22" s="23"/>
      <c r="C22" s="12">
        <v>15</v>
      </c>
      <c r="D22" s="1" t="str">
        <f>IFERROR(VLOOKUP(C22,'Transaksi Kasir'!$B$8:$H$22,4,FALSE),"")</f>
        <v/>
      </c>
      <c r="E22" s="63" t="str">
        <f>IFERROR(VLOOKUP(C22,'Transaksi Kasir'!$B$8:$H$22,5,FALSE),"")</f>
        <v/>
      </c>
      <c r="F22" s="66" t="str">
        <f>IFERROR(VLOOKUP(C22,'Transaksi Kasir'!$B$8:$H$22,6,FALSE),"")</f>
        <v/>
      </c>
      <c r="G22" s="65" t="str">
        <f>IFERROR(VLOOKUP(C22,'Transaksi Kasir'!$B$8:$H$22,7,FALSE),"")</f>
        <v/>
      </c>
      <c r="H22" s="25"/>
    </row>
    <row r="23" spans="2:8" ht="45.75" customHeight="1" x14ac:dyDescent="0.25">
      <c r="B23" s="23"/>
      <c r="C23" s="56" t="str">
        <f>"Terbilang : " &amp; terbilangku(G23) &amp; "Rupiah"</f>
        <v>Terbilang : Rupiah</v>
      </c>
      <c r="D23" s="57"/>
      <c r="E23" s="58"/>
      <c r="F23" s="32" t="s">
        <v>29</v>
      </c>
      <c r="G23" s="67">
        <f>SUM(G8:G22)</f>
        <v>0</v>
      </c>
      <c r="H23" s="25"/>
    </row>
    <row r="24" spans="2:8" x14ac:dyDescent="0.25">
      <c r="B24" s="23"/>
      <c r="C24" s="24"/>
      <c r="D24" s="24"/>
      <c r="E24" s="24"/>
      <c r="F24" s="30"/>
      <c r="G24" s="30"/>
      <c r="H24" s="25"/>
    </row>
    <row r="25" spans="2:8" x14ac:dyDescent="0.25">
      <c r="B25" s="23"/>
      <c r="C25" s="33" t="s">
        <v>30</v>
      </c>
      <c r="D25" s="24"/>
      <c r="E25" s="24"/>
      <c r="F25" s="62" t="s">
        <v>33</v>
      </c>
      <c r="G25" s="24"/>
      <c r="H25" s="25"/>
    </row>
    <row r="26" spans="2:8" x14ac:dyDescent="0.25">
      <c r="B26" s="23"/>
      <c r="C26" s="33" t="s">
        <v>31</v>
      </c>
      <c r="D26" s="24"/>
      <c r="E26" s="24"/>
      <c r="G26" s="24"/>
      <c r="H26" s="25"/>
    </row>
    <row r="27" spans="2:8" x14ac:dyDescent="0.25">
      <c r="B27" s="23"/>
      <c r="C27" s="33" t="s">
        <v>32</v>
      </c>
      <c r="D27" s="24"/>
      <c r="E27" s="24"/>
      <c r="G27" s="24"/>
      <c r="H27" s="25"/>
    </row>
    <row r="28" spans="2:8" x14ac:dyDescent="0.25">
      <c r="B28" s="23"/>
      <c r="C28" s="24"/>
      <c r="D28" s="24"/>
      <c r="E28" s="24"/>
      <c r="G28" s="24"/>
      <c r="H28" s="25"/>
    </row>
    <row r="29" spans="2:8" ht="15.75" thickBot="1" x14ac:dyDescent="0.3">
      <c r="B29" s="26"/>
      <c r="C29" s="27"/>
      <c r="D29" s="27"/>
      <c r="E29" s="27"/>
      <c r="F29" s="27" t="s">
        <v>50</v>
      </c>
      <c r="G29" s="27"/>
      <c r="H29" s="28"/>
    </row>
    <row r="30" spans="2:8" x14ac:dyDescent="0.25">
      <c r="F30" s="21"/>
      <c r="G30" s="21"/>
    </row>
  </sheetData>
  <mergeCells count="1">
    <mergeCell ref="C23:E23"/>
  </mergeCells>
  <pageMargins left="0.7" right="0.7" top="0.75" bottom="0.75" header="0.3" footer="0.3"/>
  <pageSetup scale="9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Transaksi Kasir</vt:lpstr>
      <vt:lpstr>Daftrar Transaksi</vt:lpstr>
      <vt:lpstr>Nota Belanja</vt:lpstr>
      <vt:lpstr>'Nota Belanja'!Print_Area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KAISAR FIRDAUS</dc:creator>
  <cp:lastModifiedBy>User</cp:lastModifiedBy>
  <cp:lastPrinted>2021-12-10T03:56:31Z</cp:lastPrinted>
  <dcterms:created xsi:type="dcterms:W3CDTF">2021-11-27T03:54:23Z</dcterms:created>
  <dcterms:modified xsi:type="dcterms:W3CDTF">2021-12-10T04:09:52Z</dcterms:modified>
</cp:coreProperties>
</file>